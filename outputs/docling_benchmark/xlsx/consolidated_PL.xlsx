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連結PL" sheetId="1" state="visible" r:id="rId3"/>
  </sheets>
  <definedNames>
    <definedName function="false" hidden="false" localSheetId="0" name="_xlnm.Print_Titles" vbProcedure="false">連結PL!$2:$4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<sst xmlns="http://schemas.openxmlformats.org/spreadsheetml/2006/main" count="87" uniqueCount="59">
  <si>
    <t xml:space="preserve">連結損益計算書</t>
  </si>
  <si>
    <t xml:space="preserve">期間: 当期=FY2025 H1 (4-9月), 前期=FY2024 H1 (4-9月) (単位: 千円, 比率は%)</t>
  </si>
  <si>
    <t xml:space="preserve">階層</t>
  </si>
  <si>
    <t xml:space="preserve">項目</t>
  </si>
  <si>
    <t xml:space="preserve">注記</t>
  </si>
  <si>
    <t xml:space="preserve">国内親会社</t>
  </si>
  <si>
    <t xml:space="preserve">国内連結子会社</t>
  </si>
  <si>
    <t xml:space="preserve">海外連結子会社</t>
  </si>
  <si>
    <t xml:space="preserve">連結集計</t>
  </si>
  <si>
    <t xml:space="preserve">親会社</t>
  </si>
  <si>
    <t xml:space="preserve">子会社A</t>
  </si>
  <si>
    <t xml:space="preserve">子会社B</t>
  </si>
  <si>
    <t xml:space="preserve">子会社C</t>
  </si>
  <si>
    <t xml:space="preserve">子会社D</t>
  </si>
  <si>
    <t xml:space="preserve">単純合算</t>
  </si>
  <si>
    <t xml:space="preserve">連結消去</t>
  </si>
  <si>
    <t xml:space="preserve">連結</t>
  </si>
  <si>
    <t xml:space="preserve">当期</t>
  </si>
  <si>
    <t xml:space="preserve">前期</t>
  </si>
  <si>
    <t xml:space="preserve">増減</t>
  </si>
  <si>
    <t xml:space="preserve">増減率</t>
  </si>
  <si>
    <t xml:space="preserve">売上高</t>
  </si>
  <si>
    <t xml:space="preserve">売上原価</t>
  </si>
  <si>
    <t xml:space="preserve">売上総利益</t>
  </si>
  <si>
    <t xml:space="preserve">販売費及び一般管理費</t>
  </si>
  <si>
    <t xml:space="preserve">  給料手当</t>
  </si>
  <si>
    <t xml:space="preserve">  賞与</t>
  </si>
  <si>
    <t xml:space="preserve">  法定福利費</t>
  </si>
  <si>
    <t xml:space="preserve">  減価償却費</t>
  </si>
  <si>
    <t xml:space="preserve">  賃借料</t>
  </si>
  <si>
    <t xml:space="preserve">  業務委託費</t>
  </si>
  <si>
    <t xml:space="preserve">  その他販管費</t>
  </si>
  <si>
    <t xml:space="preserve">販管費合計</t>
  </si>
  <si>
    <t xml:space="preserve">営業利益</t>
  </si>
  <si>
    <t xml:space="preserve">営業外収益</t>
  </si>
  <si>
    <t xml:space="preserve">  受取利息</t>
  </si>
  <si>
    <t xml:space="preserve">  受取配当金</t>
  </si>
  <si>
    <t xml:space="preserve">  為替差益</t>
  </si>
  <si>
    <t xml:space="preserve">  その他営業外収益</t>
  </si>
  <si>
    <t xml:space="preserve">営業外収益合計</t>
  </si>
  <si>
    <t xml:space="preserve">営業外費用</t>
  </si>
  <si>
    <t xml:space="preserve">  支払利息</t>
  </si>
  <si>
    <t xml:space="preserve">  為替差損</t>
  </si>
  <si>
    <t xml:space="preserve">  その他営業外費用</t>
  </si>
  <si>
    <t xml:space="preserve">営業外費用合計</t>
  </si>
  <si>
    <t xml:space="preserve">経常利益</t>
  </si>
  <si>
    <t xml:space="preserve">特別利益</t>
  </si>
  <si>
    <t xml:space="preserve">  固定資産売却益</t>
  </si>
  <si>
    <t xml:space="preserve">  投資有価証券売却益</t>
  </si>
  <si>
    <t xml:space="preserve">特別利益合計</t>
  </si>
  <si>
    <t xml:space="preserve">特別損失</t>
  </si>
  <si>
    <t xml:space="preserve">  固定資産除却損</t>
  </si>
  <si>
    <t xml:space="preserve">  減損損失</t>
  </si>
  <si>
    <t xml:space="preserve">特別損失合計</t>
  </si>
  <si>
    <t xml:space="preserve">税金等調整前当期純利益</t>
  </si>
  <si>
    <t xml:space="preserve">法人税等</t>
  </si>
  <si>
    <t xml:space="preserve">当期純利益</t>
  </si>
  <si>
    <t xml:space="preserve">（うち）非支配株主に帰属する当期純利益</t>
  </si>
  <si>
    <t xml:space="preserve">親会社株主に帰属する当期純利益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</si>
</sst>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  <charset val="1"/>
    </font>
    <font>
      <i val="true"/>
      <sz val="9"/>
      <color rgb="FF595959"/>
      <name val="Noto Sans CJK SC"/>
      <family val="2"/>
      <charset val="1"/>
    </font>
    <font>
      <sz val="11"/>
      <color theme="1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sz val="8"/>
      <color rgb="FFA6A6A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2E75B6"/>
        <bgColor rgb="FF305496"/>
      </patternFill>
    </fill>
    <fill>
      <patternFill patternType="solid">
        <fgColor rgb="FF9DC3E6"/>
        <bgColor rgb="FFC0C0C0"/>
      </patternFill>
    </fill>
    <fill>
      <patternFill patternType="solid">
        <fgColor rgb="FFBF8F00"/>
        <bgColor rgb="FFED7D31"/>
      </patternFill>
    </fill>
    <fill>
      <patternFill patternType="solid">
        <fgColor rgb="FF375623"/>
        <bgColor rgb="FF595959"/>
      </patternFill>
    </fill>
    <fill>
      <patternFill patternType="solid">
        <fgColor rgb="FFED7D31"/>
        <bgColor rgb="FFFF8080"/>
      </patternFill>
    </fill>
    <fill>
      <patternFill patternType="solid">
        <fgColor rgb="FF548235"/>
        <bgColor rgb="FF339966"/>
      </patternFill>
    </fill>
    <fill>
      <patternFill patternType="solid">
        <fgColor rgb="FFD9E1F2"/>
        <bgColor rgb="FFCCFFFF"/>
      </patternFill>
    </fill>
    <fill>
      <patternFill patternType="solid">
        <fgColor rgb="FF305496"/>
        <bgColor rgb="FF1F4E7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595959"/>
      <rgbColor rgb="FFA6A6A6"/>
      <rgbColor rgb="FF1F4E78"/>
      <rgbColor rgb="FF339966"/>
      <rgbColor rgb="FF003300"/>
      <rgbColor rgb="FF375623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8"/>
    <col collapsed="false" customWidth="true" hidden="false" outlineLevel="0" max="3" min="3" style="1" width="6"/>
    <col collapsed="false" customWidth="true" hidden="false" outlineLevel="0" max="35" min="4" style="1" width="13"/>
  </cols>
  <sheetData>
    <row r="1" customFormat="false" ht="13.5" hidden="false" customHeight="true" outlineLevel="0" collapsed="false">
      <c r="A1" s="2" t="s">
        <v>0</v>
      </c>
      <c r="D1" s="3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customFormat="false" ht="18" hidden="false" customHeight="true" outlineLevel="0" collapsed="false">
      <c r="A2" s="4" t="s">
        <v>2</v>
      </c>
      <c r="B2" s="4" t="s">
        <v>3</v>
      </c>
      <c r="C2" s="4" t="s">
        <v>4</v>
      </c>
      <c r="D2" s="5" t="s">
        <v>5</v>
      </c>
      <c r="E2" s="5"/>
      <c r="F2" s="5"/>
      <c r="G2" s="5"/>
      <c r="H2" s="5" t="s">
        <v>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 t="s">
        <v>7</v>
      </c>
      <c r="U2" s="5"/>
      <c r="V2" s="5"/>
      <c r="W2" s="5"/>
      <c r="X2" s="5" t="s">
        <v>8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customFormat="false" ht="18" hidden="false" customHeight="true" outlineLevel="0" collapsed="false">
      <c r="A3" s="4"/>
      <c r="B3" s="4"/>
      <c r="C3" s="4"/>
      <c r="D3" s="6" t="s">
        <v>9</v>
      </c>
      <c r="E3" s="6"/>
      <c r="F3" s="6"/>
      <c r="G3" s="6"/>
      <c r="H3" s="6" t="s">
        <v>10</v>
      </c>
      <c r="I3" s="6"/>
      <c r="J3" s="6"/>
      <c r="K3" s="6"/>
      <c r="L3" s="6" t="s">
        <v>11</v>
      </c>
      <c r="M3" s="6"/>
      <c r="N3" s="6"/>
      <c r="O3" s="6"/>
      <c r="P3" s="6" t="s">
        <v>12</v>
      </c>
      <c r="Q3" s="6"/>
      <c r="R3" s="6"/>
      <c r="S3" s="6"/>
      <c r="T3" s="6" t="s">
        <v>13</v>
      </c>
      <c r="U3" s="6"/>
      <c r="V3" s="6"/>
      <c r="W3" s="6"/>
      <c r="X3" s="7" t="s">
        <v>14</v>
      </c>
      <c r="Y3" s="7"/>
      <c r="Z3" s="7"/>
      <c r="AA3" s="7"/>
      <c r="AB3" s="8" t="s">
        <v>15</v>
      </c>
      <c r="AC3" s="8"/>
      <c r="AD3" s="8"/>
      <c r="AE3" s="8"/>
      <c r="AF3" s="9" t="s">
        <v>16</v>
      </c>
      <c r="AG3" s="9"/>
      <c r="AH3" s="9"/>
      <c r="AI3" s="9"/>
    </row>
    <row r="4" customFormat="false" ht="15.75" hidden="false" customHeight="true" outlineLevel="0" collapsed="false">
      <c r="A4" s="4"/>
      <c r="B4" s="4"/>
      <c r="C4" s="4"/>
      <c r="D4" s="10" t="s">
        <v>17</v>
      </c>
      <c r="E4" s="10" t="s">
        <v>18</v>
      </c>
      <c r="F4" s="10" t="s">
        <v>19</v>
      </c>
      <c r="G4" s="10" t="s">
        <v>20</v>
      </c>
      <c r="H4" s="10" t="s">
        <v>17</v>
      </c>
      <c r="I4" s="10" t="s">
        <v>18</v>
      </c>
      <c r="J4" s="10" t="s">
        <v>19</v>
      </c>
      <c r="K4" s="10" t="s">
        <v>20</v>
      </c>
      <c r="L4" s="10" t="s">
        <v>17</v>
      </c>
      <c r="M4" s="10" t="s">
        <v>18</v>
      </c>
      <c r="N4" s="10" t="s">
        <v>19</v>
      </c>
      <c r="O4" s="10" t="s">
        <v>20</v>
      </c>
      <c r="P4" s="10" t="s">
        <v>17</v>
      </c>
      <c r="Q4" s="10" t="s">
        <v>18</v>
      </c>
      <c r="R4" s="10" t="s">
        <v>19</v>
      </c>
      <c r="S4" s="10" t="s">
        <v>20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17</v>
      </c>
      <c r="Y4" s="10" t="s">
        <v>18</v>
      </c>
      <c r="Z4" s="10" t="s">
        <v>19</v>
      </c>
      <c r="AA4" s="10" t="s">
        <v>20</v>
      </c>
      <c r="AB4" s="11" t="s">
        <v>17</v>
      </c>
      <c r="AC4" s="11" t="s">
        <v>18</v>
      </c>
      <c r="AD4" s="11" t="s">
        <v>19</v>
      </c>
      <c r="AE4" s="11" t="s">
        <v>20</v>
      </c>
      <c r="AF4" s="12" t="s">
        <v>17</v>
      </c>
      <c r="AG4" s="12" t="s">
        <v>18</v>
      </c>
      <c r="AH4" s="12" t="s">
        <v>19</v>
      </c>
      <c r="AI4" s="12" t="s">
        <v>20</v>
      </c>
    </row>
    <row r="5" customFormat="false" ht="15" hidden="false" customHeight="true" outlineLevel="0" collapsed="false">
      <c r="A5" s="13" t="n">
        <v>0</v>
      </c>
      <c r="B5" s="14" t="s">
        <v>21</v>
      </c>
      <c r="C5" s="14"/>
      <c r="D5" s="15" t="n">
        <v>25400000</v>
      </c>
      <c r="E5" s="15" t="n">
        <v>23900000</v>
      </c>
      <c r="F5" s="16" t="n">
        <f aca="false">D5-E5</f>
        <v>1500000</v>
      </c>
      <c r="G5" s="17" t="n">
        <f aca="false">IFERROR((D5-E5)/ABS(E5),0)</f>
        <v>0.0627615062761506</v>
      </c>
      <c r="H5" s="15" t="n">
        <v>8200000</v>
      </c>
      <c r="I5" s="15" t="n">
        <v>7650000</v>
      </c>
      <c r="J5" s="16" t="n">
        <f aca="false">H5-I5</f>
        <v>550000</v>
      </c>
      <c r="K5" s="17" t="n">
        <f aca="false">IFERROR((H5-I5)/ABS(I5),0)</f>
        <v>0.0718954248366013</v>
      </c>
      <c r="L5" s="15" t="n">
        <v>5100000</v>
      </c>
      <c r="M5" s="15" t="n">
        <v>4980000</v>
      </c>
      <c r="N5" s="16" t="n">
        <f aca="false">L5-M5</f>
        <v>120000</v>
      </c>
      <c r="O5" s="17" t="n">
        <f aca="false">IFERROR((L5-M5)/ABS(M5),0)</f>
        <v>0.0240963855421687</v>
      </c>
      <c r="P5" s="15" t="n">
        <v>2300000</v>
      </c>
      <c r="Q5" s="15" t="n">
        <v>2120000</v>
      </c>
      <c r="R5" s="16" t="n">
        <f aca="false">P5-Q5</f>
        <v>180000</v>
      </c>
      <c r="S5" s="17" t="n">
        <f aca="false">IFERROR((P5-Q5)/ABS(Q5),0)</f>
        <v>0.0849056603773585</v>
      </c>
      <c r="T5" s="15" t="n">
        <v>4800000</v>
      </c>
      <c r="U5" s="15" t="n">
        <v>4350000</v>
      </c>
      <c r="V5" s="16" t="n">
        <f aca="false">T5-U5</f>
        <v>450000</v>
      </c>
      <c r="W5" s="17" t="n">
        <f aca="false">IFERROR((T5-U5)/ABS(U5),0)</f>
        <v>0.103448275862069</v>
      </c>
      <c r="X5" s="16" t="n">
        <f aca="false">D5+H5+L5+P5+T5</f>
        <v>45800000</v>
      </c>
      <c r="Y5" s="16" t="n">
        <f aca="false">D5+H5+L5+P5+T5</f>
        <v>45800000</v>
      </c>
      <c r="Z5" s="16" t="n">
        <f aca="false">X5-Y5</f>
        <v>0</v>
      </c>
      <c r="AA5" s="17" t="n">
        <f aca="false">IFERROR((X5-Y5)/ABS(Y5),0)</f>
        <v>0</v>
      </c>
      <c r="AB5" s="15" t="n">
        <v>-1850000</v>
      </c>
      <c r="AC5" s="15" t="n">
        <v>-1720000</v>
      </c>
      <c r="AD5" s="16" t="n">
        <f aca="false">AB5-AC5</f>
        <v>-130000</v>
      </c>
      <c r="AE5" s="17" t="n">
        <f aca="false">IFERROR((AB5-AC5)/ABS(AC5),0)</f>
        <v>-0.0755813953488372</v>
      </c>
      <c r="AF5" s="16" t="n">
        <f aca="false">X5+AB5</f>
        <v>43950000</v>
      </c>
      <c r="AG5" s="16" t="n">
        <f aca="false">X5+AB5</f>
        <v>43950000</v>
      </c>
      <c r="AH5" s="16" t="n">
        <f aca="false">AF5-AG5</f>
        <v>0</v>
      </c>
      <c r="AI5" s="17" t="n">
        <f aca="false">IFERROR((AF5-AG5)/ABS(AG5),0)</f>
        <v>0</v>
      </c>
    </row>
    <row r="6" customFormat="false" ht="15" hidden="false" customHeight="true" outlineLevel="0" collapsed="false">
      <c r="A6" s="13" t="n">
        <v>0</v>
      </c>
      <c r="B6" s="14" t="s">
        <v>22</v>
      </c>
      <c r="C6" s="14"/>
      <c r="D6" s="15" t="n">
        <v>-17780000</v>
      </c>
      <c r="E6" s="15" t="n">
        <v>-16730000</v>
      </c>
      <c r="F6" s="16" t="n">
        <f aca="false">D6-E6</f>
        <v>-1050000</v>
      </c>
      <c r="G6" s="17" t="n">
        <f aca="false">IFERROR((D6-E6)/ABS(E6),0)</f>
        <v>-0.0627615062761506</v>
      </c>
      <c r="H6" s="15" t="n">
        <v>-5740000</v>
      </c>
      <c r="I6" s="15" t="n">
        <v>-5355000</v>
      </c>
      <c r="J6" s="16" t="n">
        <f aca="false">H6-I6</f>
        <v>-385000</v>
      </c>
      <c r="K6" s="17" t="n">
        <f aca="false">IFERROR((H6-I6)/ABS(I6),0)</f>
        <v>-0.0718954248366013</v>
      </c>
      <c r="L6" s="15" t="n">
        <v>-3672000</v>
      </c>
      <c r="M6" s="15" t="n">
        <v>-3585000</v>
      </c>
      <c r="N6" s="16" t="n">
        <f aca="false">L6-M6</f>
        <v>-87000</v>
      </c>
      <c r="O6" s="17" t="n">
        <f aca="false">IFERROR((L6-M6)/ABS(M6),0)</f>
        <v>-0.0242677824267782</v>
      </c>
      <c r="P6" s="15" t="n">
        <v>-1656000</v>
      </c>
      <c r="Q6" s="15" t="n">
        <v>-1526000</v>
      </c>
      <c r="R6" s="16" t="n">
        <f aca="false">P6-Q6</f>
        <v>-130000</v>
      </c>
      <c r="S6" s="17" t="n">
        <f aca="false">IFERROR((P6-Q6)/ABS(Q6),0)</f>
        <v>-0.0851900393184797</v>
      </c>
      <c r="T6" s="15" t="n">
        <v>-3456000</v>
      </c>
      <c r="U6" s="15" t="n">
        <v>-3132000</v>
      </c>
      <c r="V6" s="16" t="n">
        <f aca="false">T6-U6</f>
        <v>-324000</v>
      </c>
      <c r="W6" s="17" t="n">
        <f aca="false">IFERROR((T6-U6)/ABS(U6),0)</f>
        <v>-0.103448275862069</v>
      </c>
      <c r="X6" s="16" t="n">
        <f aca="false">D6+H6+L6+P6+T6</f>
        <v>-32304000</v>
      </c>
      <c r="Y6" s="16" t="n">
        <f aca="false">D6+H6+L6+P6+T6</f>
        <v>-32304000</v>
      </c>
      <c r="Z6" s="16" t="n">
        <f aca="false">X6-Y6</f>
        <v>0</v>
      </c>
      <c r="AA6" s="17" t="n">
        <f aca="false">IFERROR((X6-Y6)/ABS(Y6),0)</f>
        <v>0</v>
      </c>
      <c r="AB6" s="15" t="n">
        <v>1700000</v>
      </c>
      <c r="AC6" s="15" t="n">
        <v>1580000</v>
      </c>
      <c r="AD6" s="16" t="n">
        <f aca="false">AB6-AC6</f>
        <v>120000</v>
      </c>
      <c r="AE6" s="17" t="n">
        <f aca="false">IFERROR((AB6-AC6)/ABS(AC6),0)</f>
        <v>0.0759493670886076</v>
      </c>
      <c r="AF6" s="16" t="n">
        <f aca="false">X6+AB6</f>
        <v>-30604000</v>
      </c>
      <c r="AG6" s="16" t="n">
        <f aca="false">X6+AB6</f>
        <v>-30604000</v>
      </c>
      <c r="AH6" s="16" t="n">
        <f aca="false">AF6-AG6</f>
        <v>0</v>
      </c>
      <c r="AI6" s="17" t="n">
        <f aca="false">IFERROR((AF6-AG6)/ABS(AG6),0)</f>
        <v>0</v>
      </c>
    </row>
    <row r="7" customFormat="false" ht="15" hidden="false" customHeight="true" outlineLevel="0" collapsed="false">
      <c r="A7" s="18" t="n">
        <v>0</v>
      </c>
      <c r="B7" s="19" t="s">
        <v>23</v>
      </c>
      <c r="C7" s="19"/>
      <c r="D7" s="20" t="n">
        <f aca="false">D5+D6</f>
        <v>7620000</v>
      </c>
      <c r="E7" s="20" t="n">
        <f aca="false">E5+E6</f>
        <v>7170000</v>
      </c>
      <c r="F7" s="20" t="n">
        <f aca="false">D7-E7</f>
        <v>450000</v>
      </c>
      <c r="G7" s="21" t="n">
        <f aca="false">IFERROR((D7-E7)/ABS(E7),0)</f>
        <v>0.0627615062761506</v>
      </c>
      <c r="H7" s="20" t="n">
        <f aca="false">H5+H6</f>
        <v>2460000</v>
      </c>
      <c r="I7" s="20" t="n">
        <f aca="false">I5+I6</f>
        <v>2295000</v>
      </c>
      <c r="J7" s="20" t="n">
        <f aca="false">H7-I7</f>
        <v>165000</v>
      </c>
      <c r="K7" s="21" t="n">
        <f aca="false">IFERROR((H7-I7)/ABS(I7),0)</f>
        <v>0.0718954248366013</v>
      </c>
      <c r="L7" s="20" t="n">
        <f aca="false">L5+L6</f>
        <v>1428000</v>
      </c>
      <c r="M7" s="20" t="n">
        <f aca="false">M5+M6</f>
        <v>1395000</v>
      </c>
      <c r="N7" s="20" t="n">
        <f aca="false">L7-M7</f>
        <v>33000</v>
      </c>
      <c r="O7" s="21" t="n">
        <f aca="false">IFERROR((L7-M7)/ABS(M7),0)</f>
        <v>0.0236559139784946</v>
      </c>
      <c r="P7" s="20" t="n">
        <f aca="false">P5+P6</f>
        <v>644000</v>
      </c>
      <c r="Q7" s="20" t="n">
        <f aca="false">Q5+Q6</f>
        <v>594000</v>
      </c>
      <c r="R7" s="20" t="n">
        <f aca="false">P7-Q7</f>
        <v>50000</v>
      </c>
      <c r="S7" s="21" t="n">
        <f aca="false">IFERROR((P7-Q7)/ABS(Q7),0)</f>
        <v>0.0841750841750842</v>
      </c>
      <c r="T7" s="20" t="n">
        <f aca="false">T5+T6</f>
        <v>1344000</v>
      </c>
      <c r="U7" s="20" t="n">
        <f aca="false">U5+U6</f>
        <v>1218000</v>
      </c>
      <c r="V7" s="20" t="n">
        <f aca="false">T7-U7</f>
        <v>126000</v>
      </c>
      <c r="W7" s="21" t="n">
        <f aca="false">IFERROR((T7-U7)/ABS(U7),0)</f>
        <v>0.103448275862069</v>
      </c>
      <c r="X7" s="20" t="n">
        <f aca="false">D7+H7+L7+P7+T7</f>
        <v>13496000</v>
      </c>
      <c r="Y7" s="20" t="n">
        <f aca="false">E7+I7+M7+Q7+U7</f>
        <v>12672000</v>
      </c>
      <c r="Z7" s="20" t="n">
        <f aca="false">X7-Y7</f>
        <v>824000</v>
      </c>
      <c r="AA7" s="21" t="n">
        <f aca="false">IFERROR((X7-Y7)/ABS(Y7),0)</f>
        <v>0.0650252525252525</v>
      </c>
      <c r="AB7" s="20" t="n">
        <f aca="false">AB5+AB6</f>
        <v>-150000</v>
      </c>
      <c r="AC7" s="20" t="n">
        <f aca="false">AC5+AC6</f>
        <v>-140000</v>
      </c>
      <c r="AD7" s="20" t="n">
        <f aca="false">AB7-AC7</f>
        <v>-10000</v>
      </c>
      <c r="AE7" s="21" t="n">
        <f aca="false">IFERROR((AB7-AC7)/ABS(AC7),0)</f>
        <v>-0.0714285714285714</v>
      </c>
      <c r="AF7" s="20" t="n">
        <f aca="false">X7+AB7</f>
        <v>13346000</v>
      </c>
      <c r="AG7" s="20" t="n">
        <f aca="false">Y7+AC7</f>
        <v>12532000</v>
      </c>
      <c r="AH7" s="20" t="n">
        <f aca="false">AF7-AG7</f>
        <v>814000</v>
      </c>
      <c r="AI7" s="21" t="n">
        <f aca="false">IFERROR((AF7-AG7)/ABS(AG7),0)</f>
        <v>0.0649537184806894</v>
      </c>
    </row>
    <row r="8" customFormat="false" ht="15" hidden="false" customHeight="true" outlineLevel="0" collapsed="false">
      <c r="A8" s="22"/>
      <c r="B8" s="23" t="s">
        <v>24</v>
      </c>
      <c r="C8" s="2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</row>
    <row r="9" customFormat="false" ht="15" hidden="false" customHeight="true" outlineLevel="0" collapsed="false">
      <c r="A9" s="13" t="n">
        <v>1</v>
      </c>
      <c r="B9" s="14" t="s">
        <v>25</v>
      </c>
      <c r="C9" s="14"/>
      <c r="D9" s="15" t="n">
        <v>-2140000</v>
      </c>
      <c r="E9" s="15" t="n">
        <v>-2050000</v>
      </c>
      <c r="F9" s="16" t="n">
        <f aca="false">D9-E9</f>
        <v>-90000</v>
      </c>
      <c r="G9" s="17" t="n">
        <f aca="false">IFERROR((D9-E9)/ABS(E9),0)</f>
        <v>-0.0439024390243902</v>
      </c>
      <c r="H9" s="15" t="n">
        <v>-680000</v>
      </c>
      <c r="I9" s="15" t="n">
        <v>-640000</v>
      </c>
      <c r="J9" s="16" t="n">
        <f aca="false">H9-I9</f>
        <v>-40000</v>
      </c>
      <c r="K9" s="17" t="n">
        <f aca="false">IFERROR((H9-I9)/ABS(I9),0)</f>
        <v>-0.0625</v>
      </c>
      <c r="L9" s="15" t="n">
        <v>-420000</v>
      </c>
      <c r="M9" s="15" t="n">
        <v>-410000</v>
      </c>
      <c r="N9" s="16" t="n">
        <f aca="false">L9-M9</f>
        <v>-10000</v>
      </c>
      <c r="O9" s="17" t="n">
        <f aca="false">IFERROR((L9-M9)/ABS(M9),0)</f>
        <v>-0.024390243902439</v>
      </c>
      <c r="P9" s="15" t="n">
        <v>-190000</v>
      </c>
      <c r="Q9" s="15" t="n">
        <v>-180000</v>
      </c>
      <c r="R9" s="16" t="n">
        <f aca="false">P9-Q9</f>
        <v>-10000</v>
      </c>
      <c r="S9" s="17" t="n">
        <f aca="false">IFERROR((P9-Q9)/ABS(Q9),0)</f>
        <v>-0.0555555555555556</v>
      </c>
      <c r="T9" s="15" t="n">
        <v>-380000</v>
      </c>
      <c r="U9" s="15" t="n">
        <v>-360000</v>
      </c>
      <c r="V9" s="16" t="n">
        <f aca="false">T9-U9</f>
        <v>-20000</v>
      </c>
      <c r="W9" s="17" t="n">
        <f aca="false">IFERROR((T9-U9)/ABS(U9),0)</f>
        <v>-0.0555555555555556</v>
      </c>
      <c r="X9" s="16" t="n">
        <f aca="false">D9+H9+L9+P9+T9</f>
        <v>-3810000</v>
      </c>
      <c r="Y9" s="16" t="n">
        <f aca="false">D9+H9+L9+P9+T9</f>
        <v>-3810000</v>
      </c>
      <c r="Z9" s="16" t="n">
        <f aca="false">X9-Y9</f>
        <v>0</v>
      </c>
      <c r="AA9" s="17" t="n">
        <f aca="false">IFERROR((X9-Y9)/ABS(Y9),0)</f>
        <v>0</v>
      </c>
      <c r="AB9" s="15" t="n">
        <v>0</v>
      </c>
      <c r="AC9" s="15" t="n">
        <v>0</v>
      </c>
      <c r="AD9" s="16" t="n">
        <f aca="false">AB9-AC9</f>
        <v>0</v>
      </c>
      <c r="AE9" s="17" t="n">
        <f aca="false">IFERROR((AB9-AC9)/ABS(AC9),0)</f>
        <v>0</v>
      </c>
      <c r="AF9" s="16" t="n">
        <f aca="false">X9+AB9</f>
        <v>-3810000</v>
      </c>
      <c r="AG9" s="16" t="n">
        <f aca="false">X9+AB9</f>
        <v>-3810000</v>
      </c>
      <c r="AH9" s="16" t="n">
        <f aca="false">AF9-AG9</f>
        <v>0</v>
      </c>
      <c r="AI9" s="17" t="n">
        <f aca="false">IFERROR((AF9-AG9)/ABS(AG9),0)</f>
        <v>0</v>
      </c>
    </row>
    <row r="10" customFormat="false" ht="15" hidden="false" customHeight="true" outlineLevel="0" collapsed="false">
      <c r="A10" s="13" t="n">
        <v>1</v>
      </c>
      <c r="B10" s="14" t="s">
        <v>26</v>
      </c>
      <c r="C10" s="14"/>
      <c r="D10" s="15" t="n">
        <v>-780000</v>
      </c>
      <c r="E10" s="15" t="n">
        <v>-740000</v>
      </c>
      <c r="F10" s="16" t="n">
        <f aca="false">D10-E10</f>
        <v>-40000</v>
      </c>
      <c r="G10" s="17" t="n">
        <f aca="false">IFERROR((D10-E10)/ABS(E10),0)</f>
        <v>-0.0540540540540541</v>
      </c>
      <c r="H10" s="15" t="n">
        <v>-245000</v>
      </c>
      <c r="I10" s="15" t="n">
        <v>-230000</v>
      </c>
      <c r="J10" s="16" t="n">
        <f aca="false">H10-I10</f>
        <v>-15000</v>
      </c>
      <c r="K10" s="17" t="n">
        <f aca="false">IFERROR((H10-I10)/ABS(I10),0)</f>
        <v>-0.0652173913043478</v>
      </c>
      <c r="L10" s="15" t="n">
        <v>-150000</v>
      </c>
      <c r="M10" s="15" t="n">
        <v>-148000</v>
      </c>
      <c r="N10" s="16" t="n">
        <f aca="false">L10-M10</f>
        <v>-2000</v>
      </c>
      <c r="O10" s="17" t="n">
        <f aca="false">IFERROR((L10-M10)/ABS(M10),0)</f>
        <v>-0.0135135135135135</v>
      </c>
      <c r="P10" s="15" t="n">
        <v>-68000</v>
      </c>
      <c r="Q10" s="15" t="n">
        <v>-65000</v>
      </c>
      <c r="R10" s="16" t="n">
        <f aca="false">P10-Q10</f>
        <v>-3000</v>
      </c>
      <c r="S10" s="17" t="n">
        <f aca="false">IFERROR((P10-Q10)/ABS(Q10),0)</f>
        <v>-0.0461538461538462</v>
      </c>
      <c r="T10" s="15" t="n">
        <v>-135000</v>
      </c>
      <c r="U10" s="15" t="n">
        <v>-130000</v>
      </c>
      <c r="V10" s="16" t="n">
        <f aca="false">T10-U10</f>
        <v>-5000</v>
      </c>
      <c r="W10" s="17" t="n">
        <f aca="false">IFERROR((T10-U10)/ABS(U10),0)</f>
        <v>-0.0384615384615385</v>
      </c>
      <c r="X10" s="16" t="n">
        <f aca="false">D10+H10+L10+P10+T10</f>
        <v>-1378000</v>
      </c>
      <c r="Y10" s="16" t="n">
        <f aca="false">D10+H10+L10+P10+T10</f>
        <v>-1378000</v>
      </c>
      <c r="Z10" s="16" t="n">
        <f aca="false">X10-Y10</f>
        <v>0</v>
      </c>
      <c r="AA10" s="17" t="n">
        <f aca="false">IFERROR((X10-Y10)/ABS(Y10),0)</f>
        <v>0</v>
      </c>
      <c r="AB10" s="15" t="n">
        <v>0</v>
      </c>
      <c r="AC10" s="15" t="n">
        <v>0</v>
      </c>
      <c r="AD10" s="16" t="n">
        <f aca="false">AB10-AC10</f>
        <v>0</v>
      </c>
      <c r="AE10" s="17" t="n">
        <f aca="false">IFERROR((AB10-AC10)/ABS(AC10),0)</f>
        <v>0</v>
      </c>
      <c r="AF10" s="16" t="n">
        <f aca="false">X10+AB10</f>
        <v>-1378000</v>
      </c>
      <c r="AG10" s="16" t="n">
        <f aca="false">X10+AB10</f>
        <v>-1378000</v>
      </c>
      <c r="AH10" s="16" t="n">
        <f aca="false">AF10-AG10</f>
        <v>0</v>
      </c>
      <c r="AI10" s="17" t="n">
        <f aca="false">IFERROR((AF10-AG10)/ABS(AG10),0)</f>
        <v>0</v>
      </c>
    </row>
    <row r="11" customFormat="false" ht="15" hidden="false" customHeight="true" outlineLevel="0" collapsed="false">
      <c r="A11" s="13" t="n">
        <v>1</v>
      </c>
      <c r="B11" s="14" t="s">
        <v>27</v>
      </c>
      <c r="C11" s="14"/>
      <c r="D11" s="15" t="n">
        <v>-340000</v>
      </c>
      <c r="E11" s="15" t="n">
        <v>-322000</v>
      </c>
      <c r="F11" s="16" t="n">
        <f aca="false">D11-E11</f>
        <v>-18000</v>
      </c>
      <c r="G11" s="17" t="n">
        <f aca="false">IFERROR((D11-E11)/ABS(E11),0)</f>
        <v>-0.0559006211180124</v>
      </c>
      <c r="H11" s="15" t="n">
        <v>-108000</v>
      </c>
      <c r="I11" s="15" t="n">
        <v>-100000</v>
      </c>
      <c r="J11" s="16" t="n">
        <f aca="false">H11-I11</f>
        <v>-8000</v>
      </c>
      <c r="K11" s="17" t="n">
        <f aca="false">IFERROR((H11-I11)/ABS(I11),0)</f>
        <v>-0.08</v>
      </c>
      <c r="L11" s="15" t="n">
        <v>-67000</v>
      </c>
      <c r="M11" s="15" t="n">
        <v>-64000</v>
      </c>
      <c r="N11" s="16" t="n">
        <f aca="false">L11-M11</f>
        <v>-3000</v>
      </c>
      <c r="O11" s="17" t="n">
        <f aca="false">IFERROR((L11-M11)/ABS(M11),0)</f>
        <v>-0.046875</v>
      </c>
      <c r="P11" s="15" t="n">
        <v>-30000</v>
      </c>
      <c r="Q11" s="15" t="n">
        <v>-28000</v>
      </c>
      <c r="R11" s="16" t="n">
        <f aca="false">P11-Q11</f>
        <v>-2000</v>
      </c>
      <c r="S11" s="17" t="n">
        <f aca="false">IFERROR((P11-Q11)/ABS(Q11),0)</f>
        <v>-0.0714285714285714</v>
      </c>
      <c r="T11" s="15" t="n">
        <v>-58000</v>
      </c>
      <c r="U11" s="15" t="n">
        <v>-55000</v>
      </c>
      <c r="V11" s="16" t="n">
        <f aca="false">T11-U11</f>
        <v>-3000</v>
      </c>
      <c r="W11" s="17" t="n">
        <f aca="false">IFERROR((T11-U11)/ABS(U11),0)</f>
        <v>-0.0545454545454545</v>
      </c>
      <c r="X11" s="16" t="n">
        <f aca="false">D11+H11+L11+P11+T11</f>
        <v>-603000</v>
      </c>
      <c r="Y11" s="16" t="n">
        <f aca="false">D11+H11+L11+P11+T11</f>
        <v>-603000</v>
      </c>
      <c r="Z11" s="16" t="n">
        <f aca="false">X11-Y11</f>
        <v>0</v>
      </c>
      <c r="AA11" s="17" t="n">
        <f aca="false">IFERROR((X11-Y11)/ABS(Y11),0)</f>
        <v>0</v>
      </c>
      <c r="AB11" s="15" t="n">
        <v>0</v>
      </c>
      <c r="AC11" s="15" t="n">
        <v>0</v>
      </c>
      <c r="AD11" s="16" t="n">
        <f aca="false">AB11-AC11</f>
        <v>0</v>
      </c>
      <c r="AE11" s="17" t="n">
        <f aca="false">IFERROR((AB11-AC11)/ABS(AC11),0)</f>
        <v>0</v>
      </c>
      <c r="AF11" s="16" t="n">
        <f aca="false">X11+AB11</f>
        <v>-603000</v>
      </c>
      <c r="AG11" s="16" t="n">
        <f aca="false">X11+AB11</f>
        <v>-603000</v>
      </c>
      <c r="AH11" s="16" t="n">
        <f aca="false">AF11-AG11</f>
        <v>0</v>
      </c>
      <c r="AI11" s="17" t="n">
        <f aca="false">IFERROR((AF11-AG11)/ABS(AG11),0)</f>
        <v>0</v>
      </c>
    </row>
    <row r="12" customFormat="false" ht="15" hidden="false" customHeight="true" outlineLevel="0" collapsed="false">
      <c r="A12" s="13" t="n">
        <v>1</v>
      </c>
      <c r="B12" s="14" t="s">
        <v>28</v>
      </c>
      <c r="C12" s="14"/>
      <c r="D12" s="15" t="n">
        <v>-480000</v>
      </c>
      <c r="E12" s="15" t="n">
        <v>-445000</v>
      </c>
      <c r="F12" s="16" t="n">
        <f aca="false">D12-E12</f>
        <v>-35000</v>
      </c>
      <c r="G12" s="17" t="n">
        <f aca="false">IFERROR((D12-E12)/ABS(E12),0)</f>
        <v>-0.0786516853932584</v>
      </c>
      <c r="H12" s="15" t="n">
        <v>-195000</v>
      </c>
      <c r="I12" s="15" t="n">
        <v>-180000</v>
      </c>
      <c r="J12" s="16" t="n">
        <f aca="false">H12-I12</f>
        <v>-15000</v>
      </c>
      <c r="K12" s="17" t="n">
        <f aca="false">IFERROR((H12-I12)/ABS(I12),0)</f>
        <v>-0.0833333333333333</v>
      </c>
      <c r="L12" s="15" t="n">
        <v>-120000</v>
      </c>
      <c r="M12" s="15" t="n">
        <v>-112000</v>
      </c>
      <c r="N12" s="16" t="n">
        <f aca="false">L12-M12</f>
        <v>-8000</v>
      </c>
      <c r="O12" s="17" t="n">
        <f aca="false">IFERROR((L12-M12)/ABS(M12),0)</f>
        <v>-0.0714285714285714</v>
      </c>
      <c r="P12" s="15" t="n">
        <v>-54000</v>
      </c>
      <c r="Q12" s="15" t="n">
        <v>-50000</v>
      </c>
      <c r="R12" s="16" t="n">
        <f aca="false">P12-Q12</f>
        <v>-4000</v>
      </c>
      <c r="S12" s="17" t="n">
        <f aca="false">IFERROR((P12-Q12)/ABS(Q12),0)</f>
        <v>-0.08</v>
      </c>
      <c r="T12" s="15" t="n">
        <v>-98000</v>
      </c>
      <c r="U12" s="15" t="n">
        <v>-90000</v>
      </c>
      <c r="V12" s="16" t="n">
        <f aca="false">T12-U12</f>
        <v>-8000</v>
      </c>
      <c r="W12" s="17" t="n">
        <f aca="false">IFERROR((T12-U12)/ABS(U12),0)</f>
        <v>-0.0888888888888889</v>
      </c>
      <c r="X12" s="16" t="n">
        <f aca="false">D12+H12+L12+P12+T12</f>
        <v>-947000</v>
      </c>
      <c r="Y12" s="16" t="n">
        <f aca="false">D12+H12+L12+P12+T12</f>
        <v>-947000</v>
      </c>
      <c r="Z12" s="16" t="n">
        <f aca="false">X12-Y12</f>
        <v>0</v>
      </c>
      <c r="AA12" s="17" t="n">
        <f aca="false">IFERROR((X12-Y12)/ABS(Y12),0)</f>
        <v>0</v>
      </c>
      <c r="AB12" s="15" t="n">
        <v>-25000</v>
      </c>
      <c r="AC12" s="15" t="n">
        <v>-22000</v>
      </c>
      <c r="AD12" s="16" t="n">
        <f aca="false">AB12-AC12</f>
        <v>-3000</v>
      </c>
      <c r="AE12" s="17" t="n">
        <f aca="false">IFERROR((AB12-AC12)/ABS(AC12),0)</f>
        <v>-0.136363636363636</v>
      </c>
      <c r="AF12" s="16" t="n">
        <f aca="false">X12+AB12</f>
        <v>-972000</v>
      </c>
      <c r="AG12" s="16" t="n">
        <f aca="false">X12+AB12</f>
        <v>-972000</v>
      </c>
      <c r="AH12" s="16" t="n">
        <f aca="false">AF12-AG12</f>
        <v>0</v>
      </c>
      <c r="AI12" s="17" t="n">
        <f aca="false">IFERROR((AF12-AG12)/ABS(AG12),0)</f>
        <v>0</v>
      </c>
    </row>
    <row r="13" customFormat="false" ht="15" hidden="false" customHeight="true" outlineLevel="0" collapsed="false">
      <c r="A13" s="13" t="n">
        <v>1</v>
      </c>
      <c r="B13" s="14" t="s">
        <v>29</v>
      </c>
      <c r="C13" s="14"/>
      <c r="D13" s="15" t="n">
        <v>-220000</v>
      </c>
      <c r="E13" s="15" t="n">
        <v>-210000</v>
      </c>
      <c r="F13" s="16" t="n">
        <f aca="false">D13-E13</f>
        <v>-10000</v>
      </c>
      <c r="G13" s="17" t="n">
        <f aca="false">IFERROR((D13-E13)/ABS(E13),0)</f>
        <v>-0.0476190476190476</v>
      </c>
      <c r="H13" s="15" t="n">
        <v>-88000</v>
      </c>
      <c r="I13" s="15" t="n">
        <v>-82000</v>
      </c>
      <c r="J13" s="16" t="n">
        <f aca="false">H13-I13</f>
        <v>-6000</v>
      </c>
      <c r="K13" s="17" t="n">
        <f aca="false">IFERROR((H13-I13)/ABS(I13),0)</f>
        <v>-0.0731707317073171</v>
      </c>
      <c r="L13" s="15" t="n">
        <v>-52000</v>
      </c>
      <c r="M13" s="15" t="n">
        <v>-50000</v>
      </c>
      <c r="N13" s="16" t="n">
        <f aca="false">L13-M13</f>
        <v>-2000</v>
      </c>
      <c r="O13" s="17" t="n">
        <f aca="false">IFERROR((L13-M13)/ABS(M13),0)</f>
        <v>-0.04</v>
      </c>
      <c r="P13" s="15" t="n">
        <v>-22000</v>
      </c>
      <c r="Q13" s="15" t="n">
        <v>-20000</v>
      </c>
      <c r="R13" s="16" t="n">
        <f aca="false">P13-Q13</f>
        <v>-2000</v>
      </c>
      <c r="S13" s="17" t="n">
        <f aca="false">IFERROR((P13-Q13)/ABS(Q13),0)</f>
        <v>-0.1</v>
      </c>
      <c r="T13" s="15" t="n">
        <v>-68000</v>
      </c>
      <c r="U13" s="15" t="n">
        <v>-64000</v>
      </c>
      <c r="V13" s="16" t="n">
        <f aca="false">T13-U13</f>
        <v>-4000</v>
      </c>
      <c r="W13" s="17" t="n">
        <f aca="false">IFERROR((T13-U13)/ABS(U13),0)</f>
        <v>-0.0625</v>
      </c>
      <c r="X13" s="16" t="n">
        <f aca="false">D13+H13+L13+P13+T13</f>
        <v>-450000</v>
      </c>
      <c r="Y13" s="16" t="n">
        <f aca="false">D13+H13+L13+P13+T13</f>
        <v>-450000</v>
      </c>
      <c r="Z13" s="16" t="n">
        <f aca="false">X13-Y13</f>
        <v>0</v>
      </c>
      <c r="AA13" s="17" t="n">
        <f aca="false">IFERROR((X13-Y13)/ABS(Y13),0)</f>
        <v>0</v>
      </c>
      <c r="AB13" s="15" t="n">
        <v>12000</v>
      </c>
      <c r="AC13" s="15" t="n">
        <v>11000</v>
      </c>
      <c r="AD13" s="16" t="n">
        <f aca="false">AB13-AC13</f>
        <v>1000</v>
      </c>
      <c r="AE13" s="17" t="n">
        <f aca="false">IFERROR((AB13-AC13)/ABS(AC13),0)</f>
        <v>0.0909090909090909</v>
      </c>
      <c r="AF13" s="16" t="n">
        <f aca="false">X13+AB13</f>
        <v>-438000</v>
      </c>
      <c r="AG13" s="16" t="n">
        <f aca="false">X13+AB13</f>
        <v>-438000</v>
      </c>
      <c r="AH13" s="16" t="n">
        <f aca="false">AF13-AG13</f>
        <v>0</v>
      </c>
      <c r="AI13" s="17" t="n">
        <f aca="false">IFERROR((AF13-AG13)/ABS(AG13),0)</f>
        <v>0</v>
      </c>
    </row>
    <row r="14" customFormat="false" ht="15" hidden="false" customHeight="true" outlineLevel="0" collapsed="false">
      <c r="A14" s="13" t="n">
        <v>1</v>
      </c>
      <c r="B14" s="14" t="s">
        <v>30</v>
      </c>
      <c r="C14" s="14"/>
      <c r="D14" s="15" t="n">
        <v>-390000</v>
      </c>
      <c r="E14" s="15" t="n">
        <v>-360000</v>
      </c>
      <c r="F14" s="16" t="n">
        <f aca="false">D14-E14</f>
        <v>-30000</v>
      </c>
      <c r="G14" s="17" t="n">
        <f aca="false">IFERROR((D14-E14)/ABS(E14),0)</f>
        <v>-0.0833333333333333</v>
      </c>
      <c r="H14" s="15" t="n">
        <v>-120000</v>
      </c>
      <c r="I14" s="15" t="n">
        <v>-110000</v>
      </c>
      <c r="J14" s="16" t="n">
        <f aca="false">H14-I14</f>
        <v>-10000</v>
      </c>
      <c r="K14" s="17" t="n">
        <f aca="false">IFERROR((H14-I14)/ABS(I14),0)</f>
        <v>-0.0909090909090909</v>
      </c>
      <c r="L14" s="15" t="n">
        <v>-75000</v>
      </c>
      <c r="M14" s="15" t="n">
        <v>-70000</v>
      </c>
      <c r="N14" s="16" t="n">
        <f aca="false">L14-M14</f>
        <v>-5000</v>
      </c>
      <c r="O14" s="17" t="n">
        <f aca="false">IFERROR((L14-M14)/ABS(M14),0)</f>
        <v>-0.0714285714285714</v>
      </c>
      <c r="P14" s="15" t="n">
        <v>-34000</v>
      </c>
      <c r="Q14" s="15" t="n">
        <v>-32000</v>
      </c>
      <c r="R14" s="16" t="n">
        <f aca="false">P14-Q14</f>
        <v>-2000</v>
      </c>
      <c r="S14" s="17" t="n">
        <f aca="false">IFERROR((P14-Q14)/ABS(Q14),0)</f>
        <v>-0.0625</v>
      </c>
      <c r="T14" s="15" t="n">
        <v>-62000</v>
      </c>
      <c r="U14" s="15" t="n">
        <v>-55000</v>
      </c>
      <c r="V14" s="16" t="n">
        <f aca="false">T14-U14</f>
        <v>-7000</v>
      </c>
      <c r="W14" s="17" t="n">
        <f aca="false">IFERROR((T14-U14)/ABS(U14),0)</f>
        <v>-0.127272727272727</v>
      </c>
      <c r="X14" s="16" t="n">
        <f aca="false">D14+H14+L14+P14+T14</f>
        <v>-681000</v>
      </c>
      <c r="Y14" s="16" t="n">
        <f aca="false">D14+H14+L14+P14+T14</f>
        <v>-681000</v>
      </c>
      <c r="Z14" s="16" t="n">
        <f aca="false">X14-Y14</f>
        <v>0</v>
      </c>
      <c r="AA14" s="17" t="n">
        <f aca="false">IFERROR((X14-Y14)/ABS(Y14),0)</f>
        <v>0</v>
      </c>
      <c r="AB14" s="15" t="n">
        <v>0</v>
      </c>
      <c r="AC14" s="15" t="n">
        <v>0</v>
      </c>
      <c r="AD14" s="16" t="n">
        <f aca="false">AB14-AC14</f>
        <v>0</v>
      </c>
      <c r="AE14" s="17" t="n">
        <f aca="false">IFERROR((AB14-AC14)/ABS(AC14),0)</f>
        <v>0</v>
      </c>
      <c r="AF14" s="16" t="n">
        <f aca="false">X14+AB14</f>
        <v>-681000</v>
      </c>
      <c r="AG14" s="16" t="n">
        <f aca="false">X14+AB14</f>
        <v>-681000</v>
      </c>
      <c r="AH14" s="16" t="n">
        <f aca="false">AF14-AG14</f>
        <v>0</v>
      </c>
      <c r="AI14" s="17" t="n">
        <f aca="false">IFERROR((AF14-AG14)/ABS(AG14),0)</f>
        <v>0</v>
      </c>
    </row>
    <row r="15" customFormat="false" ht="15" hidden="false" customHeight="true" outlineLevel="0" collapsed="false">
      <c r="A15" s="13" t="n">
        <v>1</v>
      </c>
      <c r="B15" s="14" t="s">
        <v>31</v>
      </c>
      <c r="C15" s="14"/>
      <c r="D15" s="15" t="n">
        <v>-680000</v>
      </c>
      <c r="E15" s="15" t="n">
        <v>-640000</v>
      </c>
      <c r="F15" s="16" t="n">
        <f aca="false">D15-E15</f>
        <v>-40000</v>
      </c>
      <c r="G15" s="17" t="n">
        <f aca="false">IFERROR((D15-E15)/ABS(E15),0)</f>
        <v>-0.0625</v>
      </c>
      <c r="H15" s="15" t="n">
        <v>-210000</v>
      </c>
      <c r="I15" s="15" t="n">
        <v>-195000</v>
      </c>
      <c r="J15" s="16" t="n">
        <f aca="false">H15-I15</f>
        <v>-15000</v>
      </c>
      <c r="K15" s="17" t="n">
        <f aca="false">IFERROR((H15-I15)/ABS(I15),0)</f>
        <v>-0.0769230769230769</v>
      </c>
      <c r="L15" s="15" t="n">
        <v>-130000</v>
      </c>
      <c r="M15" s="15" t="n">
        <v>-125000</v>
      </c>
      <c r="N15" s="16" t="n">
        <f aca="false">L15-M15</f>
        <v>-5000</v>
      </c>
      <c r="O15" s="17" t="n">
        <f aca="false">IFERROR((L15-M15)/ABS(M15),0)</f>
        <v>-0.04</v>
      </c>
      <c r="P15" s="15" t="n">
        <v>-58000</v>
      </c>
      <c r="Q15" s="15" t="n">
        <v>-55000</v>
      </c>
      <c r="R15" s="16" t="n">
        <f aca="false">P15-Q15</f>
        <v>-3000</v>
      </c>
      <c r="S15" s="17" t="n">
        <f aca="false">IFERROR((P15-Q15)/ABS(Q15),0)</f>
        <v>-0.0545454545454545</v>
      </c>
      <c r="T15" s="15" t="n">
        <v>-118000</v>
      </c>
      <c r="U15" s="15" t="n">
        <v>-110000</v>
      </c>
      <c r="V15" s="16" t="n">
        <f aca="false">T15-U15</f>
        <v>-8000</v>
      </c>
      <c r="W15" s="17" t="n">
        <f aca="false">IFERROR((T15-U15)/ABS(U15),0)</f>
        <v>-0.0727272727272727</v>
      </c>
      <c r="X15" s="16" t="n">
        <f aca="false">D15+H15+L15+P15+T15</f>
        <v>-1196000</v>
      </c>
      <c r="Y15" s="16" t="n">
        <f aca="false">D15+H15+L15+P15+T15</f>
        <v>-1196000</v>
      </c>
      <c r="Z15" s="16" t="n">
        <f aca="false">X15-Y15</f>
        <v>0</v>
      </c>
      <c r="AA15" s="17" t="n">
        <f aca="false">IFERROR((X15-Y15)/ABS(Y15),0)</f>
        <v>0</v>
      </c>
      <c r="AB15" s="15" t="n">
        <v>5000</v>
      </c>
      <c r="AC15" s="15" t="n">
        <v>4000</v>
      </c>
      <c r="AD15" s="16" t="n">
        <f aca="false">AB15-AC15</f>
        <v>1000</v>
      </c>
      <c r="AE15" s="17" t="n">
        <f aca="false">IFERROR((AB15-AC15)/ABS(AC15),0)</f>
        <v>0.25</v>
      </c>
      <c r="AF15" s="16" t="n">
        <f aca="false">X15+AB15</f>
        <v>-1191000</v>
      </c>
      <c r="AG15" s="16" t="n">
        <f aca="false">X15+AB15</f>
        <v>-1191000</v>
      </c>
      <c r="AH15" s="16" t="n">
        <f aca="false">AF15-AG15</f>
        <v>0</v>
      </c>
      <c r="AI15" s="17" t="n">
        <f aca="false">IFERROR((AF15-AG15)/ABS(AG15),0)</f>
        <v>0</v>
      </c>
    </row>
    <row r="16" customFormat="false" ht="15" hidden="false" customHeight="true" outlineLevel="0" collapsed="false">
      <c r="A16" s="18" t="n">
        <v>0</v>
      </c>
      <c r="B16" s="19" t="s">
        <v>32</v>
      </c>
      <c r="C16" s="19"/>
      <c r="D16" s="20" t="n">
        <f aca="false">D9+D10+D11+D12+D13+D14+D15</f>
        <v>-5030000</v>
      </c>
      <c r="E16" s="20" t="n">
        <f aca="false">E9+E10+E11+E12+E13+E14+E15</f>
        <v>-4767000</v>
      </c>
      <c r="F16" s="20" t="n">
        <f aca="false">D16-E16</f>
        <v>-263000</v>
      </c>
      <c r="G16" s="21" t="n">
        <f aca="false">IFERROR((D16-E16)/ABS(E16),0)</f>
        <v>-0.0551709670652402</v>
      </c>
      <c r="H16" s="20" t="n">
        <f aca="false">H9+H10+H11+H12+H13+H14+H15</f>
        <v>-1646000</v>
      </c>
      <c r="I16" s="20" t="n">
        <f aca="false">I9+I10+I11+I12+I13+I14+I15</f>
        <v>-1537000</v>
      </c>
      <c r="J16" s="20" t="n">
        <f aca="false">H16-I16</f>
        <v>-109000</v>
      </c>
      <c r="K16" s="21" t="n">
        <f aca="false">IFERROR((H16-I16)/ABS(I16),0)</f>
        <v>-0.0709173715029278</v>
      </c>
      <c r="L16" s="20" t="n">
        <f aca="false">L9+L10+L11+L12+L13+L14+L15</f>
        <v>-1014000</v>
      </c>
      <c r="M16" s="20" t="n">
        <f aca="false">M9+M10+M11+M12+M13+M14+M15</f>
        <v>-979000</v>
      </c>
      <c r="N16" s="20" t="n">
        <f aca="false">L16-M16</f>
        <v>-35000</v>
      </c>
      <c r="O16" s="21" t="n">
        <f aca="false">IFERROR((L16-M16)/ABS(M16),0)</f>
        <v>-0.0357507660878447</v>
      </c>
      <c r="P16" s="20" t="n">
        <f aca="false">P9+P10+P11+P12+P13+P14+P15</f>
        <v>-456000</v>
      </c>
      <c r="Q16" s="20" t="n">
        <f aca="false">Q9+Q10+Q11+Q12+Q13+Q14+Q15</f>
        <v>-430000</v>
      </c>
      <c r="R16" s="20" t="n">
        <f aca="false">P16-Q16</f>
        <v>-26000</v>
      </c>
      <c r="S16" s="21" t="n">
        <f aca="false">IFERROR((P16-Q16)/ABS(Q16),0)</f>
        <v>-0.0604651162790698</v>
      </c>
      <c r="T16" s="20" t="n">
        <f aca="false">T9+T10+T11+T12+T13+T14+T15</f>
        <v>-919000</v>
      </c>
      <c r="U16" s="20" t="n">
        <f aca="false">U9+U10+U11+U12+U13+U14+U15</f>
        <v>-864000</v>
      </c>
      <c r="V16" s="20" t="n">
        <f aca="false">T16-U16</f>
        <v>-55000</v>
      </c>
      <c r="W16" s="21" t="n">
        <f aca="false">IFERROR((T16-U16)/ABS(U16),0)</f>
        <v>-0.0636574074074074</v>
      </c>
      <c r="X16" s="20" t="n">
        <f aca="false">D16+H16+L16+P16+T16</f>
        <v>-9065000</v>
      </c>
      <c r="Y16" s="20" t="n">
        <f aca="false">E16+I16+M16+Q16+U16</f>
        <v>-8577000</v>
      </c>
      <c r="Z16" s="20" t="n">
        <f aca="false">X16-Y16</f>
        <v>-488000</v>
      </c>
      <c r="AA16" s="21" t="n">
        <f aca="false">IFERROR((X16-Y16)/ABS(Y16),0)</f>
        <v>-0.0568963507053748</v>
      </c>
      <c r="AB16" s="20" t="n">
        <f aca="false">AB9+AB10+AB11+AB12+AB13+AB14+AB15</f>
        <v>-8000</v>
      </c>
      <c r="AC16" s="20" t="n">
        <f aca="false">AC9+AC10+AC11+AC12+AC13+AC14+AC15</f>
        <v>-7000</v>
      </c>
      <c r="AD16" s="20" t="n">
        <f aca="false">AB16-AC16</f>
        <v>-1000</v>
      </c>
      <c r="AE16" s="21" t="n">
        <f aca="false">IFERROR((AB16-AC16)/ABS(AC16),0)</f>
        <v>-0.142857142857143</v>
      </c>
      <c r="AF16" s="20" t="n">
        <f aca="false">X16+AB16</f>
        <v>-9073000</v>
      </c>
      <c r="AG16" s="20" t="n">
        <f aca="false">Y16+AC16</f>
        <v>-8584000</v>
      </c>
      <c r="AH16" s="20" t="n">
        <f aca="false">AF16-AG16</f>
        <v>-489000</v>
      </c>
      <c r="AI16" s="21" t="n">
        <f aca="false">IFERROR((AF16-AG16)/ABS(AG16),0)</f>
        <v>-0.0569664492078285</v>
      </c>
    </row>
    <row r="17" customFormat="false" ht="15" hidden="false" customHeight="true" outlineLevel="0" collapsed="false">
      <c r="A17" s="26" t="n">
        <v>0</v>
      </c>
      <c r="B17" s="27" t="s">
        <v>33</v>
      </c>
      <c r="C17" s="27"/>
      <c r="D17" s="28" t="n">
        <f aca="false">D7+D16</f>
        <v>2590000</v>
      </c>
      <c r="E17" s="28" t="n">
        <f aca="false">E7+E16</f>
        <v>2403000</v>
      </c>
      <c r="F17" s="28" t="n">
        <f aca="false">D17-E17</f>
        <v>187000</v>
      </c>
      <c r="G17" s="29" t="n">
        <f aca="false">IFERROR((D17-E17)/ABS(E17),0)</f>
        <v>0.077819392426134</v>
      </c>
      <c r="H17" s="28" t="n">
        <f aca="false">H7+H16</f>
        <v>814000</v>
      </c>
      <c r="I17" s="28" t="n">
        <f aca="false">I7+I16</f>
        <v>758000</v>
      </c>
      <c r="J17" s="28" t="n">
        <f aca="false">H17-I17</f>
        <v>56000</v>
      </c>
      <c r="K17" s="29" t="n">
        <f aca="false">IFERROR((H17-I17)/ABS(I17),0)</f>
        <v>0.0738786279683377</v>
      </c>
      <c r="L17" s="28" t="n">
        <f aca="false">L7+L16</f>
        <v>414000</v>
      </c>
      <c r="M17" s="28" t="n">
        <f aca="false">M7+M16</f>
        <v>416000</v>
      </c>
      <c r="N17" s="28" t="n">
        <f aca="false">L17-M17</f>
        <v>-2000</v>
      </c>
      <c r="O17" s="29" t="n">
        <f aca="false">IFERROR((L17-M17)/ABS(M17),0)</f>
        <v>-0.00480769230769231</v>
      </c>
      <c r="P17" s="28" t="n">
        <f aca="false">P7+P16</f>
        <v>188000</v>
      </c>
      <c r="Q17" s="28" t="n">
        <f aca="false">Q7+Q16</f>
        <v>164000</v>
      </c>
      <c r="R17" s="28" t="n">
        <f aca="false">P17-Q17</f>
        <v>24000</v>
      </c>
      <c r="S17" s="29" t="n">
        <f aca="false">IFERROR((P17-Q17)/ABS(Q17),0)</f>
        <v>0.146341463414634</v>
      </c>
      <c r="T17" s="28" t="n">
        <f aca="false">T7+T16</f>
        <v>425000</v>
      </c>
      <c r="U17" s="28" t="n">
        <f aca="false">U7+U16</f>
        <v>354000</v>
      </c>
      <c r="V17" s="28" t="n">
        <f aca="false">T17-U17</f>
        <v>71000</v>
      </c>
      <c r="W17" s="29" t="n">
        <f aca="false">IFERROR((T17-U17)/ABS(U17),0)</f>
        <v>0.200564971751412</v>
      </c>
      <c r="X17" s="28" t="n">
        <f aca="false">D17+H17+L17+P17+T17</f>
        <v>4431000</v>
      </c>
      <c r="Y17" s="28" t="n">
        <f aca="false">E17+I17+M17+Q17+U17</f>
        <v>4095000</v>
      </c>
      <c r="Z17" s="28" t="n">
        <f aca="false">X17-Y17</f>
        <v>336000</v>
      </c>
      <c r="AA17" s="29" t="n">
        <f aca="false">IFERROR((X17-Y17)/ABS(Y17),0)</f>
        <v>0.0820512820512821</v>
      </c>
      <c r="AB17" s="28" t="n">
        <f aca="false">AB7+AB16</f>
        <v>-158000</v>
      </c>
      <c r="AC17" s="28" t="n">
        <f aca="false">AC7+AC16</f>
        <v>-147000</v>
      </c>
      <c r="AD17" s="28" t="n">
        <f aca="false">AB17-AC17</f>
        <v>-11000</v>
      </c>
      <c r="AE17" s="29" t="n">
        <f aca="false">IFERROR((AB17-AC17)/ABS(AC17),0)</f>
        <v>-0.0748299319727891</v>
      </c>
      <c r="AF17" s="28" t="n">
        <f aca="false">X17+AB17</f>
        <v>4273000</v>
      </c>
      <c r="AG17" s="28" t="n">
        <f aca="false">Y17+AC17</f>
        <v>3948000</v>
      </c>
      <c r="AH17" s="28" t="n">
        <f aca="false">AF17-AG17</f>
        <v>325000</v>
      </c>
      <c r="AI17" s="29" t="n">
        <f aca="false">IFERROR((AF17-AG17)/ABS(AG17),0)</f>
        <v>0.0823201621073962</v>
      </c>
    </row>
    <row r="18" customFormat="false" ht="15" hidden="false" customHeight="true" outlineLevel="0" collapsed="false">
      <c r="A18" s="22"/>
      <c r="B18" s="23" t="s">
        <v>34</v>
      </c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</row>
    <row r="19" customFormat="false" ht="15" hidden="false" customHeight="true" outlineLevel="0" collapsed="false">
      <c r="A19" s="13" t="n">
        <v>1</v>
      </c>
      <c r="B19" s="14" t="s">
        <v>35</v>
      </c>
      <c r="C19" s="14"/>
      <c r="D19" s="15" t="n">
        <v>38000</v>
      </c>
      <c r="E19" s="15" t="n">
        <v>32000</v>
      </c>
      <c r="F19" s="16" t="n">
        <f aca="false">D19-E19</f>
        <v>6000</v>
      </c>
      <c r="G19" s="17" t="n">
        <f aca="false">IFERROR((D19-E19)/ABS(E19),0)</f>
        <v>0.1875</v>
      </c>
      <c r="H19" s="15" t="n">
        <v>4200</v>
      </c>
      <c r="I19" s="15" t="n">
        <v>3800</v>
      </c>
      <c r="J19" s="16" t="n">
        <f aca="false">H19-I19</f>
        <v>400</v>
      </c>
      <c r="K19" s="17" t="n">
        <f aca="false">IFERROR((H19-I19)/ABS(I19),0)</f>
        <v>0.105263157894737</v>
      </c>
      <c r="L19" s="15" t="n">
        <v>2100</v>
      </c>
      <c r="M19" s="15" t="n">
        <v>1950</v>
      </c>
      <c r="N19" s="16" t="n">
        <f aca="false">L19-M19</f>
        <v>150</v>
      </c>
      <c r="O19" s="17" t="n">
        <f aca="false">IFERROR((L19-M19)/ABS(M19),0)</f>
        <v>0.0769230769230769</v>
      </c>
      <c r="P19" s="15" t="n">
        <v>850</v>
      </c>
      <c r="Q19" s="15" t="n">
        <v>780</v>
      </c>
      <c r="R19" s="16" t="n">
        <f aca="false">P19-Q19</f>
        <v>70</v>
      </c>
      <c r="S19" s="17" t="n">
        <f aca="false">IFERROR((P19-Q19)/ABS(Q19),0)</f>
        <v>0.0897435897435897</v>
      </c>
      <c r="T19" s="15" t="n">
        <v>1900</v>
      </c>
      <c r="U19" s="15" t="n">
        <v>1700</v>
      </c>
      <c r="V19" s="16" t="n">
        <f aca="false">T19-U19</f>
        <v>200</v>
      </c>
      <c r="W19" s="17" t="n">
        <f aca="false">IFERROR((T19-U19)/ABS(U19),0)</f>
        <v>0.117647058823529</v>
      </c>
      <c r="X19" s="16" t="n">
        <f aca="false">D19+H19+L19+P19+T19</f>
        <v>47050</v>
      </c>
      <c r="Y19" s="16" t="n">
        <f aca="false">D19+H19+L19+P19+T19</f>
        <v>47050</v>
      </c>
      <c r="Z19" s="16" t="n">
        <f aca="false">X19-Y19</f>
        <v>0</v>
      </c>
      <c r="AA19" s="17" t="n">
        <f aca="false">IFERROR((X19-Y19)/ABS(Y19),0)</f>
        <v>0</v>
      </c>
      <c r="AB19" s="15" t="n">
        <v>-2100</v>
      </c>
      <c r="AC19" s="15" t="n">
        <v>-1900</v>
      </c>
      <c r="AD19" s="16" t="n">
        <f aca="false">AB19-AC19</f>
        <v>-200</v>
      </c>
      <c r="AE19" s="17" t="n">
        <f aca="false">IFERROR((AB19-AC19)/ABS(AC19),0)</f>
        <v>-0.105263157894737</v>
      </c>
      <c r="AF19" s="16" t="n">
        <f aca="false">X19+AB19</f>
        <v>44950</v>
      </c>
      <c r="AG19" s="16" t="n">
        <f aca="false">X19+AB19</f>
        <v>44950</v>
      </c>
      <c r="AH19" s="16" t="n">
        <f aca="false">AF19-AG19</f>
        <v>0</v>
      </c>
      <c r="AI19" s="17" t="n">
        <f aca="false">IFERROR((AF19-AG19)/ABS(AG19),0)</f>
        <v>0</v>
      </c>
    </row>
    <row r="20" customFormat="false" ht="15" hidden="false" customHeight="true" outlineLevel="0" collapsed="false">
      <c r="A20" s="13" t="n">
        <v>1</v>
      </c>
      <c r="B20" s="14" t="s">
        <v>36</v>
      </c>
      <c r="C20" s="14"/>
      <c r="D20" s="15" t="n">
        <v>380000</v>
      </c>
      <c r="E20" s="15" t="n">
        <v>350000</v>
      </c>
      <c r="F20" s="16" t="n">
        <f aca="false">D20-E20</f>
        <v>30000</v>
      </c>
      <c r="G20" s="17" t="n">
        <f aca="false">IFERROR((D20-E20)/ABS(E20),0)</f>
        <v>0.0857142857142857</v>
      </c>
      <c r="H20" s="15" t="n">
        <v>0</v>
      </c>
      <c r="I20" s="15" t="n">
        <v>0</v>
      </c>
      <c r="J20" s="16" t="n">
        <f aca="false">H20-I20</f>
        <v>0</v>
      </c>
      <c r="K20" s="17" t="n">
        <f aca="false">IFERROR((H20-I20)/ABS(I20),0)</f>
        <v>0</v>
      </c>
      <c r="L20" s="15" t="n">
        <v>0</v>
      </c>
      <c r="M20" s="15" t="n">
        <v>0</v>
      </c>
      <c r="N20" s="16" t="n">
        <f aca="false">L20-M20</f>
        <v>0</v>
      </c>
      <c r="O20" s="17" t="n">
        <f aca="false">IFERROR((L20-M20)/ABS(M20),0)</f>
        <v>0</v>
      </c>
      <c r="P20" s="15" t="n">
        <v>0</v>
      </c>
      <c r="Q20" s="15" t="n">
        <v>0</v>
      </c>
      <c r="R20" s="16" t="n">
        <f aca="false">P20-Q20</f>
        <v>0</v>
      </c>
      <c r="S20" s="17" t="n">
        <f aca="false">IFERROR((P20-Q20)/ABS(Q20),0)</f>
        <v>0</v>
      </c>
      <c r="T20" s="15" t="n">
        <v>0</v>
      </c>
      <c r="U20" s="15" t="n">
        <v>0</v>
      </c>
      <c r="V20" s="16" t="n">
        <f aca="false">T20-U20</f>
        <v>0</v>
      </c>
      <c r="W20" s="17" t="n">
        <f aca="false">IFERROR((T20-U20)/ABS(U20),0)</f>
        <v>0</v>
      </c>
      <c r="X20" s="16" t="n">
        <f aca="false">D20+H20+L20+P20+T20</f>
        <v>380000</v>
      </c>
      <c r="Y20" s="16" t="n">
        <f aca="false">D20+H20+L20+P20+T20</f>
        <v>380000</v>
      </c>
      <c r="Z20" s="16" t="n">
        <f aca="false">X20-Y20</f>
        <v>0</v>
      </c>
      <c r="AA20" s="17" t="n">
        <f aca="false">IFERROR((X20-Y20)/ABS(Y20),0)</f>
        <v>0</v>
      </c>
      <c r="AB20" s="15" t="n">
        <v>-380000</v>
      </c>
      <c r="AC20" s="15" t="n">
        <v>-350000</v>
      </c>
      <c r="AD20" s="16" t="n">
        <f aca="false">AB20-AC20</f>
        <v>-30000</v>
      </c>
      <c r="AE20" s="17" t="n">
        <f aca="false">IFERROR((AB20-AC20)/ABS(AC20),0)</f>
        <v>-0.0857142857142857</v>
      </c>
      <c r="AF20" s="16" t="n">
        <f aca="false">X20+AB20</f>
        <v>0</v>
      </c>
      <c r="AG20" s="16" t="n">
        <f aca="false">X20+AB20</f>
        <v>0</v>
      </c>
      <c r="AH20" s="16" t="n">
        <f aca="false">AF20-AG20</f>
        <v>0</v>
      </c>
      <c r="AI20" s="17" t="n">
        <f aca="false">IFERROR((AF20-AG20)/ABS(AG20),0)</f>
        <v>0</v>
      </c>
    </row>
    <row r="21" customFormat="false" ht="15" hidden="false" customHeight="true" outlineLevel="0" collapsed="false">
      <c r="A21" s="13" t="n">
        <v>1</v>
      </c>
      <c r="B21" s="14" t="s">
        <v>37</v>
      </c>
      <c r="C21" s="14"/>
      <c r="D21" s="15" t="n">
        <v>95000</v>
      </c>
      <c r="E21" s="15" t="n">
        <v>78000</v>
      </c>
      <c r="F21" s="16" t="n">
        <f aca="false">D21-E21</f>
        <v>17000</v>
      </c>
      <c r="G21" s="17" t="n">
        <f aca="false">IFERROR((D21-E21)/ABS(E21),0)</f>
        <v>0.217948717948718</v>
      </c>
      <c r="H21" s="15" t="n">
        <v>0</v>
      </c>
      <c r="I21" s="15" t="n">
        <v>0</v>
      </c>
      <c r="J21" s="16" t="n">
        <f aca="false">H21-I21</f>
        <v>0</v>
      </c>
      <c r="K21" s="17" t="n">
        <f aca="false">IFERROR((H21-I21)/ABS(I21),0)</f>
        <v>0</v>
      </c>
      <c r="L21" s="15" t="n">
        <v>0</v>
      </c>
      <c r="M21" s="15" t="n">
        <v>0</v>
      </c>
      <c r="N21" s="16" t="n">
        <f aca="false">L21-M21</f>
        <v>0</v>
      </c>
      <c r="O21" s="17" t="n">
        <f aca="false">IFERROR((L21-M21)/ABS(M21),0)</f>
        <v>0</v>
      </c>
      <c r="P21" s="15" t="n">
        <v>0</v>
      </c>
      <c r="Q21" s="15" t="n">
        <v>0</v>
      </c>
      <c r="R21" s="16" t="n">
        <f aca="false">P21-Q21</f>
        <v>0</v>
      </c>
      <c r="S21" s="17" t="n">
        <f aca="false">IFERROR((P21-Q21)/ABS(Q21),0)</f>
        <v>0</v>
      </c>
      <c r="T21" s="15" t="n">
        <v>38000</v>
      </c>
      <c r="U21" s="15" t="n">
        <v>30000</v>
      </c>
      <c r="V21" s="16" t="n">
        <f aca="false">T21-U21</f>
        <v>8000</v>
      </c>
      <c r="W21" s="17" t="n">
        <f aca="false">IFERROR((T21-U21)/ABS(U21),0)</f>
        <v>0.266666666666667</v>
      </c>
      <c r="X21" s="16" t="n">
        <f aca="false">D21+H21+L21+P21+T21</f>
        <v>133000</v>
      </c>
      <c r="Y21" s="16" t="n">
        <f aca="false">D21+H21+L21+P21+T21</f>
        <v>133000</v>
      </c>
      <c r="Z21" s="16" t="n">
        <f aca="false">X21-Y21</f>
        <v>0</v>
      </c>
      <c r="AA21" s="17" t="n">
        <f aca="false">IFERROR((X21-Y21)/ABS(Y21),0)</f>
        <v>0</v>
      </c>
      <c r="AB21" s="15" t="n">
        <v>0</v>
      </c>
      <c r="AC21" s="15" t="n">
        <v>0</v>
      </c>
      <c r="AD21" s="16" t="n">
        <f aca="false">AB21-AC21</f>
        <v>0</v>
      </c>
      <c r="AE21" s="17" t="n">
        <f aca="false">IFERROR((AB21-AC21)/ABS(AC21),0)</f>
        <v>0</v>
      </c>
      <c r="AF21" s="16" t="n">
        <f aca="false">X21+AB21</f>
        <v>133000</v>
      </c>
      <c r="AG21" s="16" t="n">
        <f aca="false">X21+AB21</f>
        <v>133000</v>
      </c>
      <c r="AH21" s="16" t="n">
        <f aca="false">AF21-AG21</f>
        <v>0</v>
      </c>
      <c r="AI21" s="17" t="n">
        <f aca="false">IFERROR((AF21-AG21)/ABS(AG21),0)</f>
        <v>0</v>
      </c>
    </row>
    <row r="22" customFormat="false" ht="15" hidden="false" customHeight="true" outlineLevel="0" collapsed="false">
      <c r="A22" s="13" t="n">
        <v>1</v>
      </c>
      <c r="B22" s="14" t="s">
        <v>38</v>
      </c>
      <c r="C22" s="14"/>
      <c r="D22" s="15" t="n">
        <v>22000</v>
      </c>
      <c r="E22" s="15" t="n">
        <v>20000</v>
      </c>
      <c r="F22" s="16" t="n">
        <f aca="false">D22-E22</f>
        <v>2000</v>
      </c>
      <c r="G22" s="17" t="n">
        <f aca="false">IFERROR((D22-E22)/ABS(E22),0)</f>
        <v>0.1</v>
      </c>
      <c r="H22" s="15" t="n">
        <v>5500</v>
      </c>
      <c r="I22" s="15" t="n">
        <v>5000</v>
      </c>
      <c r="J22" s="16" t="n">
        <f aca="false">H22-I22</f>
        <v>500</v>
      </c>
      <c r="K22" s="17" t="n">
        <f aca="false">IFERROR((H22-I22)/ABS(I22),0)</f>
        <v>0.1</v>
      </c>
      <c r="L22" s="15" t="n">
        <v>3200</v>
      </c>
      <c r="M22" s="15" t="n">
        <v>3000</v>
      </c>
      <c r="N22" s="16" t="n">
        <f aca="false">L22-M22</f>
        <v>200</v>
      </c>
      <c r="O22" s="17" t="n">
        <f aca="false">IFERROR((L22-M22)/ABS(M22),0)</f>
        <v>0.0666666666666667</v>
      </c>
      <c r="P22" s="15" t="n">
        <v>1400</v>
      </c>
      <c r="Q22" s="15" t="n">
        <v>1300</v>
      </c>
      <c r="R22" s="16" t="n">
        <f aca="false">P22-Q22</f>
        <v>100</v>
      </c>
      <c r="S22" s="17" t="n">
        <f aca="false">IFERROR((P22-Q22)/ABS(Q22),0)</f>
        <v>0.0769230769230769</v>
      </c>
      <c r="T22" s="15" t="n">
        <v>4100</v>
      </c>
      <c r="U22" s="15" t="n">
        <v>3900</v>
      </c>
      <c r="V22" s="16" t="n">
        <f aca="false">T22-U22</f>
        <v>200</v>
      </c>
      <c r="W22" s="17" t="n">
        <f aca="false">IFERROR((T22-U22)/ABS(U22),0)</f>
        <v>0.0512820512820513</v>
      </c>
      <c r="X22" s="16" t="n">
        <f aca="false">D22+H22+L22+P22+T22</f>
        <v>36200</v>
      </c>
      <c r="Y22" s="16" t="n">
        <f aca="false">D22+H22+L22+P22+T22</f>
        <v>36200</v>
      </c>
      <c r="Z22" s="16" t="n">
        <f aca="false">X22-Y22</f>
        <v>0</v>
      </c>
      <c r="AA22" s="17" t="n">
        <f aca="false">IFERROR((X22-Y22)/ABS(Y22),0)</f>
        <v>0</v>
      </c>
      <c r="AB22" s="15" t="n">
        <v>0</v>
      </c>
      <c r="AC22" s="15" t="n">
        <v>0</v>
      </c>
      <c r="AD22" s="16" t="n">
        <f aca="false">AB22-AC22</f>
        <v>0</v>
      </c>
      <c r="AE22" s="17" t="n">
        <f aca="false">IFERROR((AB22-AC22)/ABS(AC22),0)</f>
        <v>0</v>
      </c>
      <c r="AF22" s="16" t="n">
        <f aca="false">X22+AB22</f>
        <v>36200</v>
      </c>
      <c r="AG22" s="16" t="n">
        <f aca="false">X22+AB22</f>
        <v>36200</v>
      </c>
      <c r="AH22" s="16" t="n">
        <f aca="false">AF22-AG22</f>
        <v>0</v>
      </c>
      <c r="AI22" s="17" t="n">
        <f aca="false">IFERROR((AF22-AG22)/ABS(AG22),0)</f>
        <v>0</v>
      </c>
    </row>
    <row r="23" customFormat="false" ht="15" hidden="false" customHeight="true" outlineLevel="0" collapsed="false">
      <c r="A23" s="18" t="n">
        <v>0</v>
      </c>
      <c r="B23" s="19" t="s">
        <v>39</v>
      </c>
      <c r="C23" s="19"/>
      <c r="D23" s="20" t="n">
        <f aca="false">D19+D20+D21+D22</f>
        <v>535000</v>
      </c>
      <c r="E23" s="20" t="n">
        <f aca="false">E19+E20+E21+E22</f>
        <v>480000</v>
      </c>
      <c r="F23" s="20" t="n">
        <f aca="false">D23-E23</f>
        <v>55000</v>
      </c>
      <c r="G23" s="21" t="n">
        <f aca="false">IFERROR((D23-E23)/ABS(E23),0)</f>
        <v>0.114583333333333</v>
      </c>
      <c r="H23" s="20" t="n">
        <f aca="false">H19+H20+H21+H22</f>
        <v>9700</v>
      </c>
      <c r="I23" s="20" t="n">
        <f aca="false">I19+I20+I21+I22</f>
        <v>8800</v>
      </c>
      <c r="J23" s="20" t="n">
        <f aca="false">H23-I23</f>
        <v>900</v>
      </c>
      <c r="K23" s="21" t="n">
        <f aca="false">IFERROR((H23-I23)/ABS(I23),0)</f>
        <v>0.102272727272727</v>
      </c>
      <c r="L23" s="20" t="n">
        <f aca="false">L19+L20+L21+L22</f>
        <v>5300</v>
      </c>
      <c r="M23" s="20" t="n">
        <f aca="false">M19+M20+M21+M22</f>
        <v>4950</v>
      </c>
      <c r="N23" s="20" t="n">
        <f aca="false">L23-M23</f>
        <v>350</v>
      </c>
      <c r="O23" s="21" t="n">
        <f aca="false">IFERROR((L23-M23)/ABS(M23),0)</f>
        <v>0.0707070707070707</v>
      </c>
      <c r="P23" s="20" t="n">
        <f aca="false">P19+P20+P21+P22</f>
        <v>2250</v>
      </c>
      <c r="Q23" s="20" t="n">
        <f aca="false">Q19+Q20+Q21+Q22</f>
        <v>2080</v>
      </c>
      <c r="R23" s="20" t="n">
        <f aca="false">P23-Q23</f>
        <v>170</v>
      </c>
      <c r="S23" s="21" t="n">
        <f aca="false">IFERROR((P23-Q23)/ABS(Q23),0)</f>
        <v>0.0817307692307692</v>
      </c>
      <c r="T23" s="20" t="n">
        <f aca="false">T19+T20+T21+T22</f>
        <v>44000</v>
      </c>
      <c r="U23" s="20" t="n">
        <f aca="false">U19+U20+U21+U22</f>
        <v>35600</v>
      </c>
      <c r="V23" s="20" t="n">
        <f aca="false">T23-U23</f>
        <v>8400</v>
      </c>
      <c r="W23" s="21" t="n">
        <f aca="false">IFERROR((T23-U23)/ABS(U23),0)</f>
        <v>0.235955056179775</v>
      </c>
      <c r="X23" s="20" t="n">
        <f aca="false">D23+H23+L23+P23+T23</f>
        <v>596250</v>
      </c>
      <c r="Y23" s="20" t="n">
        <f aca="false">E23+I23+M23+Q23+U23</f>
        <v>531430</v>
      </c>
      <c r="Z23" s="20" t="n">
        <f aca="false">X23-Y23</f>
        <v>64820</v>
      </c>
      <c r="AA23" s="21" t="n">
        <f aca="false">IFERROR((X23-Y23)/ABS(Y23),0)</f>
        <v>0.121972790395725</v>
      </c>
      <c r="AB23" s="20" t="n">
        <f aca="false">AB19+AB20+AB21+AB22</f>
        <v>-382100</v>
      </c>
      <c r="AC23" s="20" t="n">
        <f aca="false">AC19+AC20+AC21+AC22</f>
        <v>-351900</v>
      </c>
      <c r="AD23" s="20" t="n">
        <f aca="false">AB23-AC23</f>
        <v>-30200</v>
      </c>
      <c r="AE23" s="21" t="n">
        <f aca="false">IFERROR((AB23-AC23)/ABS(AC23),0)</f>
        <v>-0.085819835180449</v>
      </c>
      <c r="AF23" s="20" t="n">
        <f aca="false">X23+AB23</f>
        <v>214150</v>
      </c>
      <c r="AG23" s="20" t="n">
        <f aca="false">Y23+AC23</f>
        <v>179530</v>
      </c>
      <c r="AH23" s="20" t="n">
        <f aca="false">AF23-AG23</f>
        <v>34620</v>
      </c>
      <c r="AI23" s="21" t="n">
        <f aca="false">IFERROR((AF23-AG23)/ABS(AG23),0)</f>
        <v>0.192836851779647</v>
      </c>
    </row>
    <row r="24" customFormat="false" ht="15" hidden="false" customHeight="true" outlineLevel="0" collapsed="false">
      <c r="A24" s="22"/>
      <c r="B24" s="23" t="s">
        <v>40</v>
      </c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</row>
    <row r="25" customFormat="false" ht="15" hidden="false" customHeight="true" outlineLevel="0" collapsed="false">
      <c r="A25" s="13" t="n">
        <v>1</v>
      </c>
      <c r="B25" s="14" t="s">
        <v>41</v>
      </c>
      <c r="C25" s="14"/>
      <c r="D25" s="15" t="n">
        <v>-120000</v>
      </c>
      <c r="E25" s="15" t="n">
        <v>-110000</v>
      </c>
      <c r="F25" s="16" t="n">
        <f aca="false">D25-E25</f>
        <v>-10000</v>
      </c>
      <c r="G25" s="17" t="n">
        <f aca="false">IFERROR((D25-E25)/ABS(E25),0)</f>
        <v>-0.0909090909090909</v>
      </c>
      <c r="H25" s="15" t="n">
        <v>-45000</v>
      </c>
      <c r="I25" s="15" t="n">
        <v>-42000</v>
      </c>
      <c r="J25" s="16" t="n">
        <f aca="false">H25-I25</f>
        <v>-3000</v>
      </c>
      <c r="K25" s="17" t="n">
        <f aca="false">IFERROR((H25-I25)/ABS(I25),0)</f>
        <v>-0.0714285714285714</v>
      </c>
      <c r="L25" s="15" t="n">
        <v>-28000</v>
      </c>
      <c r="M25" s="15" t="n">
        <v>-26000</v>
      </c>
      <c r="N25" s="16" t="n">
        <f aca="false">L25-M25</f>
        <v>-2000</v>
      </c>
      <c r="O25" s="17" t="n">
        <f aca="false">IFERROR((L25-M25)/ABS(M25),0)</f>
        <v>-0.0769230769230769</v>
      </c>
      <c r="P25" s="15" t="n">
        <v>-12000</v>
      </c>
      <c r="Q25" s="15" t="n">
        <v>-11000</v>
      </c>
      <c r="R25" s="16" t="n">
        <f aca="false">P25-Q25</f>
        <v>-1000</v>
      </c>
      <c r="S25" s="17" t="n">
        <f aca="false">IFERROR((P25-Q25)/ABS(Q25),0)</f>
        <v>-0.0909090909090909</v>
      </c>
      <c r="T25" s="15" t="n">
        <v>-22000</v>
      </c>
      <c r="U25" s="15" t="n">
        <v>-20000</v>
      </c>
      <c r="V25" s="16" t="n">
        <f aca="false">T25-U25</f>
        <v>-2000</v>
      </c>
      <c r="W25" s="17" t="n">
        <f aca="false">IFERROR((T25-U25)/ABS(U25),0)</f>
        <v>-0.1</v>
      </c>
      <c r="X25" s="16" t="n">
        <f aca="false">D25+H25+L25+P25+T25</f>
        <v>-227000</v>
      </c>
      <c r="Y25" s="16" t="n">
        <f aca="false">D25+H25+L25+P25+T25</f>
        <v>-227000</v>
      </c>
      <c r="Z25" s="16" t="n">
        <f aca="false">X25-Y25</f>
        <v>0</v>
      </c>
      <c r="AA25" s="17" t="n">
        <f aca="false">IFERROR((X25-Y25)/ABS(Y25),0)</f>
        <v>0</v>
      </c>
      <c r="AB25" s="15" t="n">
        <v>2100</v>
      </c>
      <c r="AC25" s="15" t="n">
        <v>1900</v>
      </c>
      <c r="AD25" s="16" t="n">
        <f aca="false">AB25-AC25</f>
        <v>200</v>
      </c>
      <c r="AE25" s="17" t="n">
        <f aca="false">IFERROR((AB25-AC25)/ABS(AC25),0)</f>
        <v>0.105263157894737</v>
      </c>
      <c r="AF25" s="16" t="n">
        <f aca="false">X25+AB25</f>
        <v>-224900</v>
      </c>
      <c r="AG25" s="16" t="n">
        <f aca="false">X25+AB25</f>
        <v>-224900</v>
      </c>
      <c r="AH25" s="16" t="n">
        <f aca="false">AF25-AG25</f>
        <v>0</v>
      </c>
      <c r="AI25" s="17" t="n">
        <f aca="false">IFERROR((AF25-AG25)/ABS(AG25),0)</f>
        <v>0</v>
      </c>
    </row>
    <row r="26" customFormat="false" ht="15" hidden="false" customHeight="true" outlineLevel="0" collapsed="false">
      <c r="A26" s="13" t="n">
        <v>1</v>
      </c>
      <c r="B26" s="14" t="s">
        <v>42</v>
      </c>
      <c r="C26" s="14"/>
      <c r="D26" s="15" t="n">
        <v>0</v>
      </c>
      <c r="E26" s="15" t="n">
        <v>0</v>
      </c>
      <c r="F26" s="16" t="n">
        <f aca="false">D26-E26</f>
        <v>0</v>
      </c>
      <c r="G26" s="17" t="n">
        <f aca="false">IFERROR((D26-E26)/ABS(E26),0)</f>
        <v>0</v>
      </c>
      <c r="H26" s="15" t="n">
        <v>0</v>
      </c>
      <c r="I26" s="15" t="n">
        <v>0</v>
      </c>
      <c r="J26" s="16" t="n">
        <f aca="false">H26-I26</f>
        <v>0</v>
      </c>
      <c r="K26" s="17" t="n">
        <f aca="false">IFERROR((H26-I26)/ABS(I26),0)</f>
        <v>0</v>
      </c>
      <c r="L26" s="15" t="n">
        <v>0</v>
      </c>
      <c r="M26" s="15" t="n">
        <v>0</v>
      </c>
      <c r="N26" s="16" t="n">
        <f aca="false">L26-M26</f>
        <v>0</v>
      </c>
      <c r="O26" s="17" t="n">
        <f aca="false">IFERROR((L26-M26)/ABS(M26),0)</f>
        <v>0</v>
      </c>
      <c r="P26" s="15" t="n">
        <v>0</v>
      </c>
      <c r="Q26" s="15" t="n">
        <v>0</v>
      </c>
      <c r="R26" s="16" t="n">
        <f aca="false">P26-Q26</f>
        <v>0</v>
      </c>
      <c r="S26" s="17" t="n">
        <f aca="false">IFERROR((P26-Q26)/ABS(Q26),0)</f>
        <v>0</v>
      </c>
      <c r="T26" s="15" t="n">
        <v>-8000</v>
      </c>
      <c r="U26" s="15" t="n">
        <v>-12000</v>
      </c>
      <c r="V26" s="16" t="n">
        <f aca="false">T26-U26</f>
        <v>4000</v>
      </c>
      <c r="W26" s="17" t="n">
        <f aca="false">IFERROR((T26-U26)/ABS(U26),0)</f>
        <v>0.333333333333333</v>
      </c>
      <c r="X26" s="16" t="n">
        <f aca="false">D26+H26+L26+P26+T26</f>
        <v>-8000</v>
      </c>
      <c r="Y26" s="16" t="n">
        <f aca="false">D26+H26+L26+P26+T26</f>
        <v>-8000</v>
      </c>
      <c r="Z26" s="16" t="n">
        <f aca="false">X26-Y26</f>
        <v>0</v>
      </c>
      <c r="AA26" s="17" t="n">
        <f aca="false">IFERROR((X26-Y26)/ABS(Y26),0)</f>
        <v>0</v>
      </c>
      <c r="AB26" s="15" t="n">
        <v>0</v>
      </c>
      <c r="AC26" s="15" t="n">
        <v>0</v>
      </c>
      <c r="AD26" s="16" t="n">
        <f aca="false">AB26-AC26</f>
        <v>0</v>
      </c>
      <c r="AE26" s="17" t="n">
        <f aca="false">IFERROR((AB26-AC26)/ABS(AC26),0)</f>
        <v>0</v>
      </c>
      <c r="AF26" s="16" t="n">
        <f aca="false">X26+AB26</f>
        <v>-8000</v>
      </c>
      <c r="AG26" s="16" t="n">
        <f aca="false">X26+AB26</f>
        <v>-8000</v>
      </c>
      <c r="AH26" s="16" t="n">
        <f aca="false">AF26-AG26</f>
        <v>0</v>
      </c>
      <c r="AI26" s="17" t="n">
        <f aca="false">IFERROR((AF26-AG26)/ABS(AG26),0)</f>
        <v>0</v>
      </c>
    </row>
    <row r="27" customFormat="false" ht="15" hidden="false" customHeight="true" outlineLevel="0" collapsed="false">
      <c r="A27" s="13" t="n">
        <v>1</v>
      </c>
      <c r="B27" s="14" t="s">
        <v>43</v>
      </c>
      <c r="C27" s="14"/>
      <c r="D27" s="15" t="n">
        <v>-18000</v>
      </c>
      <c r="E27" s="15" t="n">
        <v>-16000</v>
      </c>
      <c r="F27" s="16" t="n">
        <f aca="false">D27-E27</f>
        <v>-2000</v>
      </c>
      <c r="G27" s="17" t="n">
        <f aca="false">IFERROR((D27-E27)/ABS(E27),0)</f>
        <v>-0.125</v>
      </c>
      <c r="H27" s="15" t="n">
        <v>-4200</v>
      </c>
      <c r="I27" s="15" t="n">
        <v>-3900</v>
      </c>
      <c r="J27" s="16" t="n">
        <f aca="false">H27-I27</f>
        <v>-300</v>
      </c>
      <c r="K27" s="17" t="n">
        <f aca="false">IFERROR((H27-I27)/ABS(I27),0)</f>
        <v>-0.0769230769230769</v>
      </c>
      <c r="L27" s="15" t="n">
        <v>-2500</v>
      </c>
      <c r="M27" s="15" t="n">
        <v>-2300</v>
      </c>
      <c r="N27" s="16" t="n">
        <f aca="false">L27-M27</f>
        <v>-200</v>
      </c>
      <c r="O27" s="17" t="n">
        <f aca="false">IFERROR((L27-M27)/ABS(M27),0)</f>
        <v>-0.0869565217391304</v>
      </c>
      <c r="P27" s="15" t="n">
        <v>-1100</v>
      </c>
      <c r="Q27" s="15" t="n">
        <v>-1000</v>
      </c>
      <c r="R27" s="16" t="n">
        <f aca="false">P27-Q27</f>
        <v>-100</v>
      </c>
      <c r="S27" s="17" t="n">
        <f aca="false">IFERROR((P27-Q27)/ABS(Q27),0)</f>
        <v>-0.1</v>
      </c>
      <c r="T27" s="15" t="n">
        <v>-3200</v>
      </c>
      <c r="U27" s="15" t="n">
        <v>-3000</v>
      </c>
      <c r="V27" s="16" t="n">
        <f aca="false">T27-U27</f>
        <v>-200</v>
      </c>
      <c r="W27" s="17" t="n">
        <f aca="false">IFERROR((T27-U27)/ABS(U27),0)</f>
        <v>-0.0666666666666667</v>
      </c>
      <c r="X27" s="16" t="n">
        <f aca="false">D27+H27+L27+P27+T27</f>
        <v>-29000</v>
      </c>
      <c r="Y27" s="16" t="n">
        <f aca="false">D27+H27+L27+P27+T27</f>
        <v>-29000</v>
      </c>
      <c r="Z27" s="16" t="n">
        <f aca="false">X27-Y27</f>
        <v>0</v>
      </c>
      <c r="AA27" s="17" t="n">
        <f aca="false">IFERROR((X27-Y27)/ABS(Y27),0)</f>
        <v>0</v>
      </c>
      <c r="AB27" s="15" t="n">
        <v>0</v>
      </c>
      <c r="AC27" s="15" t="n">
        <v>0</v>
      </c>
      <c r="AD27" s="16" t="n">
        <f aca="false">AB27-AC27</f>
        <v>0</v>
      </c>
      <c r="AE27" s="17" t="n">
        <f aca="false">IFERROR((AB27-AC27)/ABS(AC27),0)</f>
        <v>0</v>
      </c>
      <c r="AF27" s="16" t="n">
        <f aca="false">X27+AB27</f>
        <v>-29000</v>
      </c>
      <c r="AG27" s="16" t="n">
        <f aca="false">X27+AB27</f>
        <v>-29000</v>
      </c>
      <c r="AH27" s="16" t="n">
        <f aca="false">AF27-AG27</f>
        <v>0</v>
      </c>
      <c r="AI27" s="17" t="n">
        <f aca="false">IFERROR((AF27-AG27)/ABS(AG27),0)</f>
        <v>0</v>
      </c>
    </row>
    <row r="28" customFormat="false" ht="15" hidden="false" customHeight="true" outlineLevel="0" collapsed="false">
      <c r="A28" s="18" t="n">
        <v>0</v>
      </c>
      <c r="B28" s="19" t="s">
        <v>44</v>
      </c>
      <c r="C28" s="19"/>
      <c r="D28" s="20" t="n">
        <f aca="false">D25+D26+D27</f>
        <v>-138000</v>
      </c>
      <c r="E28" s="20" t="n">
        <f aca="false">E25+E26+E27</f>
        <v>-126000</v>
      </c>
      <c r="F28" s="20" t="n">
        <f aca="false">D28-E28</f>
        <v>-12000</v>
      </c>
      <c r="G28" s="21" t="n">
        <f aca="false">IFERROR((D28-E28)/ABS(E28),0)</f>
        <v>-0.0952380952380952</v>
      </c>
      <c r="H28" s="20" t="n">
        <f aca="false">H25+H26+H27</f>
        <v>-49200</v>
      </c>
      <c r="I28" s="20" t="n">
        <f aca="false">I25+I26+I27</f>
        <v>-45900</v>
      </c>
      <c r="J28" s="20" t="n">
        <f aca="false">H28-I28</f>
        <v>-3300</v>
      </c>
      <c r="K28" s="21" t="n">
        <f aca="false">IFERROR((H28-I28)/ABS(I28),0)</f>
        <v>-0.0718954248366013</v>
      </c>
      <c r="L28" s="20" t="n">
        <f aca="false">L25+L26+L27</f>
        <v>-30500</v>
      </c>
      <c r="M28" s="20" t="n">
        <f aca="false">M25+M26+M27</f>
        <v>-28300</v>
      </c>
      <c r="N28" s="20" t="n">
        <f aca="false">L28-M28</f>
        <v>-2200</v>
      </c>
      <c r="O28" s="21" t="n">
        <f aca="false">IFERROR((L28-M28)/ABS(M28),0)</f>
        <v>-0.0777385159010601</v>
      </c>
      <c r="P28" s="20" t="n">
        <f aca="false">P25+P26+P27</f>
        <v>-13100</v>
      </c>
      <c r="Q28" s="20" t="n">
        <f aca="false">Q25+Q26+Q27</f>
        <v>-12000</v>
      </c>
      <c r="R28" s="20" t="n">
        <f aca="false">P28-Q28</f>
        <v>-1100</v>
      </c>
      <c r="S28" s="21" t="n">
        <f aca="false">IFERROR((P28-Q28)/ABS(Q28),0)</f>
        <v>-0.0916666666666667</v>
      </c>
      <c r="T28" s="20" t="n">
        <f aca="false">T25+T26+T27</f>
        <v>-33200</v>
      </c>
      <c r="U28" s="20" t="n">
        <f aca="false">U25+U26+U27</f>
        <v>-35000</v>
      </c>
      <c r="V28" s="20" t="n">
        <f aca="false">T28-U28</f>
        <v>1800</v>
      </c>
      <c r="W28" s="21" t="n">
        <f aca="false">IFERROR((T28-U28)/ABS(U28),0)</f>
        <v>0.0514285714285714</v>
      </c>
      <c r="X28" s="20" t="n">
        <f aca="false">D28+H28+L28+P28+T28</f>
        <v>-264000</v>
      </c>
      <c r="Y28" s="20" t="n">
        <f aca="false">E28+I28+M28+Q28+U28</f>
        <v>-247200</v>
      </c>
      <c r="Z28" s="20" t="n">
        <f aca="false">X28-Y28</f>
        <v>-16800</v>
      </c>
      <c r="AA28" s="21" t="n">
        <f aca="false">IFERROR((X28-Y28)/ABS(Y28),0)</f>
        <v>-0.0679611650485437</v>
      </c>
      <c r="AB28" s="20" t="n">
        <f aca="false">AB25+AB26+AB27</f>
        <v>2100</v>
      </c>
      <c r="AC28" s="20" t="n">
        <f aca="false">AC25+AC26+AC27</f>
        <v>1900</v>
      </c>
      <c r="AD28" s="20" t="n">
        <f aca="false">AB28-AC28</f>
        <v>200</v>
      </c>
      <c r="AE28" s="21" t="n">
        <f aca="false">IFERROR((AB28-AC28)/ABS(AC28),0)</f>
        <v>0.105263157894737</v>
      </c>
      <c r="AF28" s="20" t="n">
        <f aca="false">X28+AB28</f>
        <v>-261900</v>
      </c>
      <c r="AG28" s="20" t="n">
        <f aca="false">Y28+AC28</f>
        <v>-245300</v>
      </c>
      <c r="AH28" s="20" t="n">
        <f aca="false">AF28-AG28</f>
        <v>-16600</v>
      </c>
      <c r="AI28" s="21" t="n">
        <f aca="false">IFERROR((AF28-AG28)/ABS(AG28),0)</f>
        <v>-0.0676722380758255</v>
      </c>
    </row>
    <row r="29" customFormat="false" ht="15" hidden="false" customHeight="true" outlineLevel="0" collapsed="false">
      <c r="A29" s="26" t="n">
        <v>0</v>
      </c>
      <c r="B29" s="27" t="s">
        <v>45</v>
      </c>
      <c r="C29" s="27"/>
      <c r="D29" s="28" t="n">
        <f aca="false">D17+D23+D28</f>
        <v>2987000</v>
      </c>
      <c r="E29" s="28" t="n">
        <f aca="false">E17+E23+E28</f>
        <v>2757000</v>
      </c>
      <c r="F29" s="28" t="n">
        <f aca="false">D29-E29</f>
        <v>230000</v>
      </c>
      <c r="G29" s="29" t="n">
        <f aca="false">IFERROR((D29-E29)/ABS(E29),0)</f>
        <v>0.083424011606819</v>
      </c>
      <c r="H29" s="28" t="n">
        <f aca="false">H17+H23+H28</f>
        <v>774500</v>
      </c>
      <c r="I29" s="28" t="n">
        <f aca="false">I17+I23+I28</f>
        <v>720900</v>
      </c>
      <c r="J29" s="28" t="n">
        <f aca="false">H29-I29</f>
        <v>53600</v>
      </c>
      <c r="K29" s="29" t="n">
        <f aca="false">IFERROR((H29-I29)/ABS(I29),0)</f>
        <v>0.0743515050631156</v>
      </c>
      <c r="L29" s="28" t="n">
        <f aca="false">L17+L23+L28</f>
        <v>388800</v>
      </c>
      <c r="M29" s="28" t="n">
        <f aca="false">M17+M23+M28</f>
        <v>392650</v>
      </c>
      <c r="N29" s="28" t="n">
        <f aca="false">L29-M29</f>
        <v>-3850</v>
      </c>
      <c r="O29" s="29" t="n">
        <f aca="false">IFERROR((L29-M29)/ABS(M29),0)</f>
        <v>-0.0098051699987266</v>
      </c>
      <c r="P29" s="28" t="n">
        <f aca="false">P17+P23+P28</f>
        <v>177150</v>
      </c>
      <c r="Q29" s="28" t="n">
        <f aca="false">Q17+Q23+Q28</f>
        <v>154080</v>
      </c>
      <c r="R29" s="28" t="n">
        <f aca="false">P29-Q29</f>
        <v>23070</v>
      </c>
      <c r="S29" s="29" t="n">
        <f aca="false">IFERROR((P29-Q29)/ABS(Q29),0)</f>
        <v>0.149727414330218</v>
      </c>
      <c r="T29" s="28" t="n">
        <f aca="false">T17+T23+T28</f>
        <v>435800</v>
      </c>
      <c r="U29" s="28" t="n">
        <f aca="false">U17+U23+U28</f>
        <v>354600</v>
      </c>
      <c r="V29" s="28" t="n">
        <f aca="false">T29-U29</f>
        <v>81200</v>
      </c>
      <c r="W29" s="29" t="n">
        <f aca="false">IFERROR((T29-U29)/ABS(U29),0)</f>
        <v>0.228990411731528</v>
      </c>
      <c r="X29" s="28" t="n">
        <f aca="false">D29+H29+L29+P29+T29</f>
        <v>4763250</v>
      </c>
      <c r="Y29" s="28" t="n">
        <f aca="false">E29+I29+M29+Q29+U29</f>
        <v>4379230</v>
      </c>
      <c r="Z29" s="28" t="n">
        <f aca="false">X29-Y29</f>
        <v>384020</v>
      </c>
      <c r="AA29" s="29" t="n">
        <f aca="false">IFERROR((X29-Y29)/ABS(Y29),0)</f>
        <v>0.0876912151222932</v>
      </c>
      <c r="AB29" s="28" t="n">
        <f aca="false">AB17+AB23+AB28</f>
        <v>-538000</v>
      </c>
      <c r="AC29" s="28" t="n">
        <f aca="false">AC17+AC23+AC28</f>
        <v>-497000</v>
      </c>
      <c r="AD29" s="28" t="n">
        <f aca="false">AB29-AC29</f>
        <v>-41000</v>
      </c>
      <c r="AE29" s="29" t="n">
        <f aca="false">IFERROR((AB29-AC29)/ABS(AC29),0)</f>
        <v>-0.0824949698189135</v>
      </c>
      <c r="AF29" s="28" t="n">
        <f aca="false">X29+AB29</f>
        <v>4225250</v>
      </c>
      <c r="AG29" s="28" t="n">
        <f aca="false">Y29+AC29</f>
        <v>3882230</v>
      </c>
      <c r="AH29" s="28" t="n">
        <f aca="false">AF29-AG29</f>
        <v>343020</v>
      </c>
      <c r="AI29" s="29" t="n">
        <f aca="false">IFERROR((AF29-AG29)/ABS(AG29),0)</f>
        <v>0.0883564343173898</v>
      </c>
    </row>
    <row r="30" customFormat="false" ht="15" hidden="false" customHeight="true" outlineLevel="0" collapsed="false">
      <c r="A30" s="22"/>
      <c r="B30" s="23" t="s">
        <v>46</v>
      </c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</row>
    <row r="31" customFormat="false" ht="15" hidden="false" customHeight="true" outlineLevel="0" collapsed="false">
      <c r="A31" s="13" t="n">
        <v>1</v>
      </c>
      <c r="B31" s="14" t="s">
        <v>47</v>
      </c>
      <c r="C31" s="14"/>
      <c r="D31" s="15" t="n">
        <v>18000</v>
      </c>
      <c r="E31" s="15" t="n">
        <v>12000</v>
      </c>
      <c r="F31" s="16" t="n">
        <f aca="false">D31-E31</f>
        <v>6000</v>
      </c>
      <c r="G31" s="17" t="n">
        <f aca="false">IFERROR((D31-E31)/ABS(E31),0)</f>
        <v>0.5</v>
      </c>
      <c r="H31" s="15" t="n">
        <v>0</v>
      </c>
      <c r="I31" s="15" t="n">
        <v>0</v>
      </c>
      <c r="J31" s="16" t="n">
        <f aca="false">H31-I31</f>
        <v>0</v>
      </c>
      <c r="K31" s="17" t="n">
        <f aca="false">IFERROR((H31-I31)/ABS(I31),0)</f>
        <v>0</v>
      </c>
      <c r="L31" s="15" t="n">
        <v>0</v>
      </c>
      <c r="M31" s="15" t="n">
        <v>0</v>
      </c>
      <c r="N31" s="16" t="n">
        <f aca="false">L31-M31</f>
        <v>0</v>
      </c>
      <c r="O31" s="17" t="n">
        <f aca="false">IFERROR((L31-M31)/ABS(M31),0)</f>
        <v>0</v>
      </c>
      <c r="P31" s="15" t="n">
        <v>4500</v>
      </c>
      <c r="Q31" s="15" t="n">
        <v>0</v>
      </c>
      <c r="R31" s="16" t="n">
        <f aca="false">P31-Q31</f>
        <v>4500</v>
      </c>
      <c r="S31" s="17" t="n">
        <f aca="false">IFERROR((P31-Q31)/ABS(Q31),0)</f>
        <v>0</v>
      </c>
      <c r="T31" s="15" t="n">
        <v>0</v>
      </c>
      <c r="U31" s="15" t="n">
        <v>0</v>
      </c>
      <c r="V31" s="16" t="n">
        <f aca="false">T31-U31</f>
        <v>0</v>
      </c>
      <c r="W31" s="17" t="n">
        <f aca="false">IFERROR((T31-U31)/ABS(U31),0)</f>
        <v>0</v>
      </c>
      <c r="X31" s="16" t="n">
        <f aca="false">D31+H31+L31+P31+T31</f>
        <v>22500</v>
      </c>
      <c r="Y31" s="16" t="n">
        <f aca="false">D31+H31+L31+P31+T31</f>
        <v>22500</v>
      </c>
      <c r="Z31" s="16" t="n">
        <f aca="false">X31-Y31</f>
        <v>0</v>
      </c>
      <c r="AA31" s="17" t="n">
        <f aca="false">IFERROR((X31-Y31)/ABS(Y31),0)</f>
        <v>0</v>
      </c>
      <c r="AB31" s="15" t="n">
        <v>0</v>
      </c>
      <c r="AC31" s="15" t="n">
        <v>0</v>
      </c>
      <c r="AD31" s="16" t="n">
        <f aca="false">AB31-AC31</f>
        <v>0</v>
      </c>
      <c r="AE31" s="17" t="n">
        <f aca="false">IFERROR((AB31-AC31)/ABS(AC31),0)</f>
        <v>0</v>
      </c>
      <c r="AF31" s="16" t="n">
        <f aca="false">X31+AB31</f>
        <v>22500</v>
      </c>
      <c r="AG31" s="16" t="n">
        <f aca="false">X31+AB31</f>
        <v>22500</v>
      </c>
      <c r="AH31" s="16" t="n">
        <f aca="false">AF31-AG31</f>
        <v>0</v>
      </c>
      <c r="AI31" s="17" t="n">
        <f aca="false">IFERROR((AF31-AG31)/ABS(AG31),0)</f>
        <v>0</v>
      </c>
    </row>
    <row r="32" customFormat="false" ht="15" hidden="false" customHeight="true" outlineLevel="0" collapsed="false">
      <c r="A32" s="13" t="n">
        <v>1</v>
      </c>
      <c r="B32" s="14" t="s">
        <v>48</v>
      </c>
      <c r="C32" s="14"/>
      <c r="D32" s="15" t="n">
        <v>42000</v>
      </c>
      <c r="E32" s="15" t="n">
        <v>0</v>
      </c>
      <c r="F32" s="16" t="n">
        <f aca="false">D32-E32</f>
        <v>42000</v>
      </c>
      <c r="G32" s="17" t="n">
        <f aca="false">IFERROR((D32-E32)/ABS(E32),0)</f>
        <v>0</v>
      </c>
      <c r="H32" s="15" t="n">
        <v>0</v>
      </c>
      <c r="I32" s="15" t="n">
        <v>0</v>
      </c>
      <c r="J32" s="16" t="n">
        <f aca="false">H32-I32</f>
        <v>0</v>
      </c>
      <c r="K32" s="17" t="n">
        <f aca="false">IFERROR((H32-I32)/ABS(I32),0)</f>
        <v>0</v>
      </c>
      <c r="L32" s="15" t="n">
        <v>0</v>
      </c>
      <c r="M32" s="15" t="n">
        <v>0</v>
      </c>
      <c r="N32" s="16" t="n">
        <f aca="false">L32-M32</f>
        <v>0</v>
      </c>
      <c r="O32" s="17" t="n">
        <f aca="false">IFERROR((L32-M32)/ABS(M32),0)</f>
        <v>0</v>
      </c>
      <c r="P32" s="15" t="n">
        <v>0</v>
      </c>
      <c r="Q32" s="15" t="n">
        <v>0</v>
      </c>
      <c r="R32" s="16" t="n">
        <f aca="false">P32-Q32</f>
        <v>0</v>
      </c>
      <c r="S32" s="17" t="n">
        <f aca="false">IFERROR((P32-Q32)/ABS(Q32),0)</f>
        <v>0</v>
      </c>
      <c r="T32" s="15" t="n">
        <v>0</v>
      </c>
      <c r="U32" s="15" t="n">
        <v>0</v>
      </c>
      <c r="V32" s="16" t="n">
        <f aca="false">T32-U32</f>
        <v>0</v>
      </c>
      <c r="W32" s="17" t="n">
        <f aca="false">IFERROR((T32-U32)/ABS(U32),0)</f>
        <v>0</v>
      </c>
      <c r="X32" s="16" t="n">
        <f aca="false">D32+H32+L32+P32+T32</f>
        <v>42000</v>
      </c>
      <c r="Y32" s="16" t="n">
        <f aca="false">D32+H32+L32+P32+T32</f>
        <v>42000</v>
      </c>
      <c r="Z32" s="16" t="n">
        <f aca="false">X32-Y32</f>
        <v>0</v>
      </c>
      <c r="AA32" s="17" t="n">
        <f aca="false">IFERROR((X32-Y32)/ABS(Y32),0)</f>
        <v>0</v>
      </c>
      <c r="AB32" s="15" t="n">
        <v>0</v>
      </c>
      <c r="AC32" s="15" t="n">
        <v>0</v>
      </c>
      <c r="AD32" s="16" t="n">
        <f aca="false">AB32-AC32</f>
        <v>0</v>
      </c>
      <c r="AE32" s="17" t="n">
        <f aca="false">IFERROR((AB32-AC32)/ABS(AC32),0)</f>
        <v>0</v>
      </c>
      <c r="AF32" s="16" t="n">
        <f aca="false">X32+AB32</f>
        <v>42000</v>
      </c>
      <c r="AG32" s="16" t="n">
        <f aca="false">X32+AB32</f>
        <v>42000</v>
      </c>
      <c r="AH32" s="16" t="n">
        <f aca="false">AF32-AG32</f>
        <v>0</v>
      </c>
      <c r="AI32" s="17" t="n">
        <f aca="false">IFERROR((AF32-AG32)/ABS(AG32),0)</f>
        <v>0</v>
      </c>
    </row>
    <row r="33" customFormat="false" ht="15" hidden="false" customHeight="true" outlineLevel="0" collapsed="false">
      <c r="A33" s="18" t="n">
        <v>0</v>
      </c>
      <c r="B33" s="19" t="s">
        <v>49</v>
      </c>
      <c r="C33" s="19"/>
      <c r="D33" s="20" t="n">
        <f aca="false">D31+D32</f>
        <v>60000</v>
      </c>
      <c r="E33" s="20" t="n">
        <f aca="false">E31+E32</f>
        <v>12000</v>
      </c>
      <c r="F33" s="20" t="n">
        <f aca="false">D33-E33</f>
        <v>48000</v>
      </c>
      <c r="G33" s="21" t="n">
        <f aca="false">IFERROR((D33-E33)/ABS(E33),0)</f>
        <v>4</v>
      </c>
      <c r="H33" s="20" t="n">
        <f aca="false">H31+H32</f>
        <v>0</v>
      </c>
      <c r="I33" s="20" t="n">
        <f aca="false">I31+I32</f>
        <v>0</v>
      </c>
      <c r="J33" s="20" t="n">
        <f aca="false">H33-I33</f>
        <v>0</v>
      </c>
      <c r="K33" s="21" t="n">
        <f aca="false">IFERROR((H33-I33)/ABS(I33),0)</f>
        <v>0</v>
      </c>
      <c r="L33" s="20" t="n">
        <f aca="false">L31+L32</f>
        <v>0</v>
      </c>
      <c r="M33" s="20" t="n">
        <f aca="false">M31+M32</f>
        <v>0</v>
      </c>
      <c r="N33" s="20" t="n">
        <f aca="false">L33-M33</f>
        <v>0</v>
      </c>
      <c r="O33" s="21" t="n">
        <f aca="false">IFERROR((L33-M33)/ABS(M33),0)</f>
        <v>0</v>
      </c>
      <c r="P33" s="20" t="n">
        <f aca="false">P31+P32</f>
        <v>4500</v>
      </c>
      <c r="Q33" s="20" t="n">
        <f aca="false">Q31+Q32</f>
        <v>0</v>
      </c>
      <c r="R33" s="20" t="n">
        <f aca="false">P33-Q33</f>
        <v>4500</v>
      </c>
      <c r="S33" s="21" t="n">
        <f aca="false">IFERROR((P33-Q33)/ABS(Q33),0)</f>
        <v>0</v>
      </c>
      <c r="T33" s="20" t="n">
        <f aca="false">T31+T32</f>
        <v>0</v>
      </c>
      <c r="U33" s="20" t="n">
        <f aca="false">U31+U32</f>
        <v>0</v>
      </c>
      <c r="V33" s="20" t="n">
        <f aca="false">T33-U33</f>
        <v>0</v>
      </c>
      <c r="W33" s="21" t="n">
        <f aca="false">IFERROR((T33-U33)/ABS(U33),0)</f>
        <v>0</v>
      </c>
      <c r="X33" s="20" t="n">
        <f aca="false">D33+H33+L33+P33+T33</f>
        <v>64500</v>
      </c>
      <c r="Y33" s="20" t="n">
        <f aca="false">E33+I33+M33+Q33+U33</f>
        <v>12000</v>
      </c>
      <c r="Z33" s="20" t="n">
        <f aca="false">X33-Y33</f>
        <v>52500</v>
      </c>
      <c r="AA33" s="21" t="n">
        <f aca="false">IFERROR((X33-Y33)/ABS(Y33),0)</f>
        <v>4.375</v>
      </c>
      <c r="AB33" s="20" t="n">
        <f aca="false">AB31+AB32</f>
        <v>0</v>
      </c>
      <c r="AC33" s="20" t="n">
        <f aca="false">AC31+AC32</f>
        <v>0</v>
      </c>
      <c r="AD33" s="20" t="n">
        <f aca="false">AB33-AC33</f>
        <v>0</v>
      </c>
      <c r="AE33" s="21" t="n">
        <f aca="false">IFERROR((AB33-AC33)/ABS(AC33),0)</f>
        <v>0</v>
      </c>
      <c r="AF33" s="20" t="n">
        <f aca="false">X33+AB33</f>
        <v>64500</v>
      </c>
      <c r="AG33" s="20" t="n">
        <f aca="false">Y33+AC33</f>
        <v>12000</v>
      </c>
      <c r="AH33" s="20" t="n">
        <f aca="false">AF33-AG33</f>
        <v>52500</v>
      </c>
      <c r="AI33" s="21" t="n">
        <f aca="false">IFERROR((AF33-AG33)/ABS(AG33),0)</f>
        <v>4.375</v>
      </c>
    </row>
    <row r="34" customFormat="false" ht="15" hidden="false" customHeight="true" outlineLevel="0" collapsed="false">
      <c r="A34" s="22"/>
      <c r="B34" s="23" t="s">
        <v>50</v>
      </c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</row>
    <row r="35" customFormat="false" ht="15" hidden="false" customHeight="true" outlineLevel="0" collapsed="false">
      <c r="A35" s="13" t="n">
        <v>1</v>
      </c>
      <c r="B35" s="14" t="s">
        <v>51</v>
      </c>
      <c r="C35" s="14"/>
      <c r="D35" s="15" t="n">
        <v>-8500</v>
      </c>
      <c r="E35" s="15" t="n">
        <v>-6400</v>
      </c>
      <c r="F35" s="16" t="n">
        <f aca="false">D35-E35</f>
        <v>-2100</v>
      </c>
      <c r="G35" s="17" t="n">
        <f aca="false">IFERROR((D35-E35)/ABS(E35),0)</f>
        <v>-0.328125</v>
      </c>
      <c r="H35" s="15" t="n">
        <v>-2100</v>
      </c>
      <c r="I35" s="15" t="n">
        <v>-1800</v>
      </c>
      <c r="J35" s="16" t="n">
        <f aca="false">H35-I35</f>
        <v>-300</v>
      </c>
      <c r="K35" s="17" t="n">
        <f aca="false">IFERROR((H35-I35)/ABS(I35),0)</f>
        <v>-0.166666666666667</v>
      </c>
      <c r="L35" s="15" t="n">
        <v>-1200</v>
      </c>
      <c r="M35" s="15" t="n">
        <v>-900</v>
      </c>
      <c r="N35" s="16" t="n">
        <f aca="false">L35-M35</f>
        <v>-300</v>
      </c>
      <c r="O35" s="17" t="n">
        <f aca="false">IFERROR((L35-M35)/ABS(M35),0)</f>
        <v>-0.333333333333333</v>
      </c>
      <c r="P35" s="15" t="n">
        <v>0</v>
      </c>
      <c r="Q35" s="15" t="n">
        <v>0</v>
      </c>
      <c r="R35" s="16" t="n">
        <f aca="false">P35-Q35</f>
        <v>0</v>
      </c>
      <c r="S35" s="17" t="n">
        <f aca="false">IFERROR((P35-Q35)/ABS(Q35),0)</f>
        <v>0</v>
      </c>
      <c r="T35" s="15" t="n">
        <v>0</v>
      </c>
      <c r="U35" s="15" t="n">
        <v>0</v>
      </c>
      <c r="V35" s="16" t="n">
        <f aca="false">T35-U35</f>
        <v>0</v>
      </c>
      <c r="W35" s="17" t="n">
        <f aca="false">IFERROR((T35-U35)/ABS(U35),0)</f>
        <v>0</v>
      </c>
      <c r="X35" s="16" t="n">
        <f aca="false">D35+H35+L35+P35+T35</f>
        <v>-11800</v>
      </c>
      <c r="Y35" s="16" t="n">
        <f aca="false">D35+H35+L35+P35+T35</f>
        <v>-11800</v>
      </c>
      <c r="Z35" s="16" t="n">
        <f aca="false">X35-Y35</f>
        <v>0</v>
      </c>
      <c r="AA35" s="17" t="n">
        <f aca="false">IFERROR((X35-Y35)/ABS(Y35),0)</f>
        <v>0</v>
      </c>
      <c r="AB35" s="15" t="n">
        <v>0</v>
      </c>
      <c r="AC35" s="15" t="n">
        <v>0</v>
      </c>
      <c r="AD35" s="16" t="n">
        <f aca="false">AB35-AC35</f>
        <v>0</v>
      </c>
      <c r="AE35" s="17" t="n">
        <f aca="false">IFERROR((AB35-AC35)/ABS(AC35),0)</f>
        <v>0</v>
      </c>
      <c r="AF35" s="16" t="n">
        <f aca="false">X35+AB35</f>
        <v>-11800</v>
      </c>
      <c r="AG35" s="16" t="n">
        <f aca="false">X35+AB35</f>
        <v>-11800</v>
      </c>
      <c r="AH35" s="16" t="n">
        <f aca="false">AF35-AG35</f>
        <v>0</v>
      </c>
      <c r="AI35" s="17" t="n">
        <f aca="false">IFERROR((AF35-AG35)/ABS(AG35),0)</f>
        <v>0</v>
      </c>
    </row>
    <row r="36" customFormat="false" ht="15" hidden="false" customHeight="true" outlineLevel="0" collapsed="false">
      <c r="A36" s="13" t="n">
        <v>1</v>
      </c>
      <c r="B36" s="14" t="s">
        <v>52</v>
      </c>
      <c r="C36" s="14"/>
      <c r="D36" s="15" t="n">
        <v>0</v>
      </c>
      <c r="E36" s="15" t="n">
        <v>-28000</v>
      </c>
      <c r="F36" s="16" t="n">
        <f aca="false">D36-E36</f>
        <v>28000</v>
      </c>
      <c r="G36" s="17" t="n">
        <f aca="false">IFERROR((D36-E36)/ABS(E36),0)</f>
        <v>1</v>
      </c>
      <c r="H36" s="15" t="n">
        <v>0</v>
      </c>
      <c r="I36" s="15" t="n">
        <v>0</v>
      </c>
      <c r="J36" s="16" t="n">
        <f aca="false">H36-I36</f>
        <v>0</v>
      </c>
      <c r="K36" s="17" t="n">
        <f aca="false">IFERROR((H36-I36)/ABS(I36),0)</f>
        <v>0</v>
      </c>
      <c r="L36" s="15" t="n">
        <v>-45000</v>
      </c>
      <c r="M36" s="15" t="n">
        <v>0</v>
      </c>
      <c r="N36" s="16" t="n">
        <f aca="false">L36-M36</f>
        <v>-45000</v>
      </c>
      <c r="O36" s="17" t="n">
        <f aca="false">IFERROR((L36-M36)/ABS(M36),0)</f>
        <v>0</v>
      </c>
      <c r="P36" s="15" t="n">
        <v>0</v>
      </c>
      <c r="Q36" s="15" t="n">
        <v>0</v>
      </c>
      <c r="R36" s="16" t="n">
        <f aca="false">P36-Q36</f>
        <v>0</v>
      </c>
      <c r="S36" s="17" t="n">
        <f aca="false">IFERROR((P36-Q36)/ABS(Q36),0)</f>
        <v>0</v>
      </c>
      <c r="T36" s="15" t="n">
        <v>0</v>
      </c>
      <c r="U36" s="15" t="n">
        <v>0</v>
      </c>
      <c r="V36" s="16" t="n">
        <f aca="false">T36-U36</f>
        <v>0</v>
      </c>
      <c r="W36" s="17" t="n">
        <f aca="false">IFERROR((T36-U36)/ABS(U36),0)</f>
        <v>0</v>
      </c>
      <c r="X36" s="16" t="n">
        <f aca="false">D36+H36+L36+P36+T36</f>
        <v>-45000</v>
      </c>
      <c r="Y36" s="16" t="n">
        <f aca="false">D36+H36+L36+P36+T36</f>
        <v>-45000</v>
      </c>
      <c r="Z36" s="16" t="n">
        <f aca="false">X36-Y36</f>
        <v>0</v>
      </c>
      <c r="AA36" s="17" t="n">
        <f aca="false">IFERROR((X36-Y36)/ABS(Y36),0)</f>
        <v>0</v>
      </c>
      <c r="AB36" s="15" t="n">
        <v>0</v>
      </c>
      <c r="AC36" s="15" t="n">
        <v>0</v>
      </c>
      <c r="AD36" s="16" t="n">
        <f aca="false">AB36-AC36</f>
        <v>0</v>
      </c>
      <c r="AE36" s="17" t="n">
        <f aca="false">IFERROR((AB36-AC36)/ABS(AC36),0)</f>
        <v>0</v>
      </c>
      <c r="AF36" s="16" t="n">
        <f aca="false">X36+AB36</f>
        <v>-45000</v>
      </c>
      <c r="AG36" s="16" t="n">
        <f aca="false">X36+AB36</f>
        <v>-45000</v>
      </c>
      <c r="AH36" s="16" t="n">
        <f aca="false">AF36-AG36</f>
        <v>0</v>
      </c>
      <c r="AI36" s="17" t="n">
        <f aca="false">IFERROR((AF36-AG36)/ABS(AG36),0)</f>
        <v>0</v>
      </c>
    </row>
    <row r="37" customFormat="false" ht="15" hidden="false" customHeight="true" outlineLevel="0" collapsed="false">
      <c r="A37" s="18" t="n">
        <v>0</v>
      </c>
      <c r="B37" s="19" t="s">
        <v>53</v>
      </c>
      <c r="C37" s="19"/>
      <c r="D37" s="20" t="n">
        <f aca="false">D35+D36</f>
        <v>-8500</v>
      </c>
      <c r="E37" s="20" t="n">
        <f aca="false">E35+E36</f>
        <v>-34400</v>
      </c>
      <c r="F37" s="20" t="n">
        <f aca="false">D37-E37</f>
        <v>25900</v>
      </c>
      <c r="G37" s="21" t="n">
        <f aca="false">IFERROR((D37-E37)/ABS(E37),0)</f>
        <v>0.752906976744186</v>
      </c>
      <c r="H37" s="20" t="n">
        <f aca="false">H35+H36</f>
        <v>-2100</v>
      </c>
      <c r="I37" s="20" t="n">
        <f aca="false">I35+I36</f>
        <v>-1800</v>
      </c>
      <c r="J37" s="20" t="n">
        <f aca="false">H37-I37</f>
        <v>-300</v>
      </c>
      <c r="K37" s="21" t="n">
        <f aca="false">IFERROR((H37-I37)/ABS(I37),0)</f>
        <v>-0.166666666666667</v>
      </c>
      <c r="L37" s="20" t="n">
        <f aca="false">L35+L36</f>
        <v>-46200</v>
      </c>
      <c r="M37" s="20" t="n">
        <f aca="false">M35+M36</f>
        <v>-900</v>
      </c>
      <c r="N37" s="20" t="n">
        <f aca="false">L37-M37</f>
        <v>-45300</v>
      </c>
      <c r="O37" s="21" t="n">
        <f aca="false">IFERROR((L37-M37)/ABS(M37),0)</f>
        <v>-50.3333333333333</v>
      </c>
      <c r="P37" s="20" t="n">
        <f aca="false">P35+P36</f>
        <v>0</v>
      </c>
      <c r="Q37" s="20" t="n">
        <f aca="false">Q35+Q36</f>
        <v>0</v>
      </c>
      <c r="R37" s="20" t="n">
        <f aca="false">P37-Q37</f>
        <v>0</v>
      </c>
      <c r="S37" s="21" t="n">
        <f aca="false">IFERROR((P37-Q37)/ABS(Q37),0)</f>
        <v>0</v>
      </c>
      <c r="T37" s="20" t="n">
        <f aca="false">T35+T36</f>
        <v>0</v>
      </c>
      <c r="U37" s="20" t="n">
        <f aca="false">U35+U36</f>
        <v>0</v>
      </c>
      <c r="V37" s="20" t="n">
        <f aca="false">T37-U37</f>
        <v>0</v>
      </c>
      <c r="W37" s="21" t="n">
        <f aca="false">IFERROR((T37-U37)/ABS(U37),0)</f>
        <v>0</v>
      </c>
      <c r="X37" s="20" t="n">
        <f aca="false">D37+H37+L37+P37+T37</f>
        <v>-56800</v>
      </c>
      <c r="Y37" s="20" t="n">
        <f aca="false">E37+I37+M37+Q37+U37</f>
        <v>-37100</v>
      </c>
      <c r="Z37" s="20" t="n">
        <f aca="false">X37-Y37</f>
        <v>-19700</v>
      </c>
      <c r="AA37" s="21" t="n">
        <f aca="false">IFERROR((X37-Y37)/ABS(Y37),0)</f>
        <v>-0.53099730458221</v>
      </c>
      <c r="AB37" s="20" t="n">
        <f aca="false">AB35+AB36</f>
        <v>0</v>
      </c>
      <c r="AC37" s="20" t="n">
        <f aca="false">AC35+AC36</f>
        <v>0</v>
      </c>
      <c r="AD37" s="20" t="n">
        <f aca="false">AB37-AC37</f>
        <v>0</v>
      </c>
      <c r="AE37" s="21" t="n">
        <f aca="false">IFERROR((AB37-AC37)/ABS(AC37),0)</f>
        <v>0</v>
      </c>
      <c r="AF37" s="20" t="n">
        <f aca="false">X37+AB37</f>
        <v>-56800</v>
      </c>
      <c r="AG37" s="20" t="n">
        <f aca="false">Y37+AC37</f>
        <v>-37100</v>
      </c>
      <c r="AH37" s="20" t="n">
        <f aca="false">AF37-AG37</f>
        <v>-19700</v>
      </c>
      <c r="AI37" s="21" t="n">
        <f aca="false">IFERROR((AF37-AG37)/ABS(AG37),0)</f>
        <v>-0.53099730458221</v>
      </c>
    </row>
    <row r="38" customFormat="false" ht="15" hidden="false" customHeight="true" outlineLevel="0" collapsed="false">
      <c r="A38" s="18" t="n">
        <v>0</v>
      </c>
      <c r="B38" s="19" t="s">
        <v>54</v>
      </c>
      <c r="C38" s="19"/>
      <c r="D38" s="20" t="n">
        <f aca="false">D29+D33+D37</f>
        <v>3038500</v>
      </c>
      <c r="E38" s="20" t="n">
        <f aca="false">E29+E33+E37</f>
        <v>2734600</v>
      </c>
      <c r="F38" s="20" t="n">
        <f aca="false">D38-E38</f>
        <v>303900</v>
      </c>
      <c r="G38" s="21" t="n">
        <f aca="false">IFERROR((D38-E38)/ABS(E38),0)</f>
        <v>0.111131426899729</v>
      </c>
      <c r="H38" s="20" t="n">
        <f aca="false">H29+H33+H37</f>
        <v>772400</v>
      </c>
      <c r="I38" s="20" t="n">
        <f aca="false">I29+I33+I37</f>
        <v>719100</v>
      </c>
      <c r="J38" s="20" t="n">
        <f aca="false">H38-I38</f>
        <v>53300</v>
      </c>
      <c r="K38" s="21" t="n">
        <f aca="false">IFERROR((H38-I38)/ABS(I38),0)</f>
        <v>0.0741204283131692</v>
      </c>
      <c r="L38" s="20" t="n">
        <f aca="false">L29+L33+L37</f>
        <v>342600</v>
      </c>
      <c r="M38" s="20" t="n">
        <f aca="false">M29+M33+M37</f>
        <v>391750</v>
      </c>
      <c r="N38" s="20" t="n">
        <f aca="false">L38-M38</f>
        <v>-49150</v>
      </c>
      <c r="O38" s="21" t="n">
        <f aca="false">IFERROR((L38-M38)/ABS(M38),0)</f>
        <v>-0.125462667517549</v>
      </c>
      <c r="P38" s="20" t="n">
        <f aca="false">P29+P33+P37</f>
        <v>181650</v>
      </c>
      <c r="Q38" s="20" t="n">
        <f aca="false">Q29+Q33+Q37</f>
        <v>154080</v>
      </c>
      <c r="R38" s="20" t="n">
        <f aca="false">P38-Q38</f>
        <v>27570</v>
      </c>
      <c r="S38" s="21" t="n">
        <f aca="false">IFERROR((P38-Q38)/ABS(Q38),0)</f>
        <v>0.178933021806854</v>
      </c>
      <c r="T38" s="20" t="n">
        <f aca="false">T29+T33+T37</f>
        <v>435800</v>
      </c>
      <c r="U38" s="20" t="n">
        <f aca="false">U29+U33+U37</f>
        <v>354600</v>
      </c>
      <c r="V38" s="20" t="n">
        <f aca="false">T38-U38</f>
        <v>81200</v>
      </c>
      <c r="W38" s="21" t="n">
        <f aca="false">IFERROR((T38-U38)/ABS(U38),0)</f>
        <v>0.228990411731528</v>
      </c>
      <c r="X38" s="20" t="n">
        <f aca="false">D38+H38+L38+P38+T38</f>
        <v>4770950</v>
      </c>
      <c r="Y38" s="20" t="n">
        <f aca="false">E38+I38+M38+Q38+U38</f>
        <v>4354130</v>
      </c>
      <c r="Z38" s="20" t="n">
        <f aca="false">X38-Y38</f>
        <v>416820</v>
      </c>
      <c r="AA38" s="21" t="n">
        <f aca="false">IFERROR((X38-Y38)/ABS(Y38),0)</f>
        <v>0.0957298013610067</v>
      </c>
      <c r="AB38" s="20" t="n">
        <f aca="false">AB29+AB33+AB37</f>
        <v>-538000</v>
      </c>
      <c r="AC38" s="20" t="n">
        <f aca="false">AC29+AC33+AC37</f>
        <v>-497000</v>
      </c>
      <c r="AD38" s="20" t="n">
        <f aca="false">AB38-AC38</f>
        <v>-41000</v>
      </c>
      <c r="AE38" s="21" t="n">
        <f aca="false">IFERROR((AB38-AC38)/ABS(AC38),0)</f>
        <v>-0.0824949698189135</v>
      </c>
      <c r="AF38" s="20" t="n">
        <f aca="false">X38+AB38</f>
        <v>4232950</v>
      </c>
      <c r="AG38" s="20" t="n">
        <f aca="false">Y38+AC38</f>
        <v>3857130</v>
      </c>
      <c r="AH38" s="20" t="n">
        <f aca="false">AF38-AG38</f>
        <v>375820</v>
      </c>
      <c r="AI38" s="21" t="n">
        <f aca="false">IFERROR((AF38-AG38)/ABS(AG38),0)</f>
        <v>0.0974351395986135</v>
      </c>
    </row>
    <row r="39" customFormat="false" ht="15" hidden="false" customHeight="true" outlineLevel="0" collapsed="false">
      <c r="A39" s="13" t="n">
        <v>0</v>
      </c>
      <c r="B39" s="14" t="s">
        <v>55</v>
      </c>
      <c r="C39" s="14"/>
      <c r="D39" s="15" t="n">
        <v>-1180000</v>
      </c>
      <c r="E39" s="15" t="n">
        <v>-1080000</v>
      </c>
      <c r="F39" s="16" t="n">
        <f aca="false">D39-E39</f>
        <v>-100000</v>
      </c>
      <c r="G39" s="17" t="n">
        <f aca="false">IFERROR((D39-E39)/ABS(E39),0)</f>
        <v>-0.0925925925925926</v>
      </c>
      <c r="H39" s="15" t="n">
        <v>-380000</v>
      </c>
      <c r="I39" s="15" t="n">
        <v>-345000</v>
      </c>
      <c r="J39" s="16" t="n">
        <f aca="false">H39-I39</f>
        <v>-35000</v>
      </c>
      <c r="K39" s="17" t="n">
        <f aca="false">IFERROR((H39-I39)/ABS(I39),0)</f>
        <v>-0.101449275362319</v>
      </c>
      <c r="L39" s="15" t="n">
        <v>-210000</v>
      </c>
      <c r="M39" s="15" t="n">
        <v>-202000</v>
      </c>
      <c r="N39" s="16" t="n">
        <f aca="false">L39-M39</f>
        <v>-8000</v>
      </c>
      <c r="O39" s="17" t="n">
        <f aca="false">IFERROR((L39-M39)/ABS(M39),0)</f>
        <v>-0.0396039603960396</v>
      </c>
      <c r="P39" s="15" t="n">
        <v>-88000</v>
      </c>
      <c r="Q39" s="15" t="n">
        <v>-78000</v>
      </c>
      <c r="R39" s="16" t="n">
        <f aca="false">P39-Q39</f>
        <v>-10000</v>
      </c>
      <c r="S39" s="17" t="n">
        <f aca="false">IFERROR((P39-Q39)/ABS(Q39),0)</f>
        <v>-0.128205128205128</v>
      </c>
      <c r="T39" s="15" t="n">
        <v>-195000</v>
      </c>
      <c r="U39" s="15" t="n">
        <v>-176000</v>
      </c>
      <c r="V39" s="16" t="n">
        <f aca="false">T39-U39</f>
        <v>-19000</v>
      </c>
      <c r="W39" s="17" t="n">
        <f aca="false">IFERROR((T39-U39)/ABS(U39),0)</f>
        <v>-0.107954545454545</v>
      </c>
      <c r="X39" s="16" t="n">
        <f aca="false">D39+H39+L39+P39+T39</f>
        <v>-2053000</v>
      </c>
      <c r="Y39" s="16" t="n">
        <f aca="false">D39+H39+L39+P39+T39</f>
        <v>-2053000</v>
      </c>
      <c r="Z39" s="16" t="n">
        <f aca="false">X39-Y39</f>
        <v>0</v>
      </c>
      <c r="AA39" s="17" t="n">
        <f aca="false">IFERROR((X39-Y39)/ABS(Y39),0)</f>
        <v>0</v>
      </c>
      <c r="AB39" s="15" t="n">
        <v>0</v>
      </c>
      <c r="AC39" s="15" t="n">
        <v>0</v>
      </c>
      <c r="AD39" s="16" t="n">
        <f aca="false">AB39-AC39</f>
        <v>0</v>
      </c>
      <c r="AE39" s="17" t="n">
        <f aca="false">IFERROR((AB39-AC39)/ABS(AC39),0)</f>
        <v>0</v>
      </c>
      <c r="AF39" s="16" t="n">
        <f aca="false">X39+AB39</f>
        <v>-2053000</v>
      </c>
      <c r="AG39" s="16" t="n">
        <f aca="false">X39+AB39</f>
        <v>-2053000</v>
      </c>
      <c r="AH39" s="16" t="n">
        <f aca="false">AF39-AG39</f>
        <v>0</v>
      </c>
      <c r="AI39" s="17" t="n">
        <f aca="false">IFERROR((AF39-AG39)/ABS(AG39),0)</f>
        <v>0</v>
      </c>
    </row>
    <row r="40" customFormat="false" ht="15" hidden="false" customHeight="true" outlineLevel="0" collapsed="false">
      <c r="A40" s="26" t="n">
        <v>0</v>
      </c>
      <c r="B40" s="27" t="s">
        <v>56</v>
      </c>
      <c r="C40" s="27"/>
      <c r="D40" s="28" t="n">
        <f aca="false">D38+D39</f>
        <v>1858500</v>
      </c>
      <c r="E40" s="28" t="n">
        <f aca="false">E38+E39</f>
        <v>1654600</v>
      </c>
      <c r="F40" s="28" t="n">
        <f aca="false">D40-E40</f>
        <v>203900</v>
      </c>
      <c r="G40" s="29" t="n">
        <f aca="false">IFERROR((D40-E40)/ABS(E40),0)</f>
        <v>0.123232201136226</v>
      </c>
      <c r="H40" s="28" t="n">
        <f aca="false">H38+H39</f>
        <v>392400</v>
      </c>
      <c r="I40" s="28" t="n">
        <f aca="false">I38+I39</f>
        <v>374100</v>
      </c>
      <c r="J40" s="28" t="n">
        <f aca="false">H40-I40</f>
        <v>18300</v>
      </c>
      <c r="K40" s="29" t="n">
        <f aca="false">IFERROR((H40-I40)/ABS(I40),0)</f>
        <v>0.0489174017642342</v>
      </c>
      <c r="L40" s="28" t="n">
        <f aca="false">L38+L39</f>
        <v>132600</v>
      </c>
      <c r="M40" s="28" t="n">
        <f aca="false">M38+M39</f>
        <v>189750</v>
      </c>
      <c r="N40" s="28" t="n">
        <f aca="false">L40-M40</f>
        <v>-57150</v>
      </c>
      <c r="O40" s="29" t="n">
        <f aca="false">IFERROR((L40-M40)/ABS(M40),0)</f>
        <v>-0.301185770750988</v>
      </c>
      <c r="P40" s="28" t="n">
        <f aca="false">P38+P39</f>
        <v>93650</v>
      </c>
      <c r="Q40" s="28" t="n">
        <f aca="false">Q38+Q39</f>
        <v>76080</v>
      </c>
      <c r="R40" s="28" t="n">
        <f aca="false">P40-Q40</f>
        <v>17570</v>
      </c>
      <c r="S40" s="29" t="n">
        <f aca="false">IFERROR((P40-Q40)/ABS(Q40),0)</f>
        <v>0.230941114616194</v>
      </c>
      <c r="T40" s="28" t="n">
        <f aca="false">T38+T39</f>
        <v>240800</v>
      </c>
      <c r="U40" s="28" t="n">
        <f aca="false">U38+U39</f>
        <v>178600</v>
      </c>
      <c r="V40" s="28" t="n">
        <f aca="false">T40-U40</f>
        <v>62200</v>
      </c>
      <c r="W40" s="29" t="n">
        <f aca="false">IFERROR((T40-U40)/ABS(U40),0)</f>
        <v>0.348264277715566</v>
      </c>
      <c r="X40" s="28" t="n">
        <f aca="false">D40+H40+L40+P40+T40</f>
        <v>2717950</v>
      </c>
      <c r="Y40" s="28" t="n">
        <f aca="false">E40+I40+M40+Q40+U40</f>
        <v>2473130</v>
      </c>
      <c r="Z40" s="28" t="n">
        <f aca="false">X40-Y40</f>
        <v>244820</v>
      </c>
      <c r="AA40" s="29" t="n">
        <f aca="false">IFERROR((X40-Y40)/ABS(Y40),0)</f>
        <v>0.0989919656467715</v>
      </c>
      <c r="AB40" s="28" t="n">
        <f aca="false">AB38+AB39</f>
        <v>-538000</v>
      </c>
      <c r="AC40" s="28" t="n">
        <f aca="false">AC38+AC39</f>
        <v>-497000</v>
      </c>
      <c r="AD40" s="28" t="n">
        <f aca="false">AB40-AC40</f>
        <v>-41000</v>
      </c>
      <c r="AE40" s="29" t="n">
        <f aca="false">IFERROR((AB40-AC40)/ABS(AC40),0)</f>
        <v>-0.0824949698189135</v>
      </c>
      <c r="AF40" s="28" t="n">
        <f aca="false">X40+AB40</f>
        <v>2179950</v>
      </c>
      <c r="AG40" s="28" t="n">
        <f aca="false">Y40+AC40</f>
        <v>1976130</v>
      </c>
      <c r="AH40" s="28" t="n">
        <f aca="false">AF40-AG40</f>
        <v>203820</v>
      </c>
      <c r="AI40" s="29" t="n">
        <f aca="false">IFERROR((AF40-AG40)/ABS(AG40),0)</f>
        <v>0.103140987688057</v>
      </c>
    </row>
    <row r="41" customFormat="false" ht="15" hidden="false" customHeight="true" outlineLevel="0" collapsed="false">
      <c r="A41" s="13" t="n">
        <v>0</v>
      </c>
      <c r="B41" s="14" t="s">
        <v>57</v>
      </c>
      <c r="C41" s="14"/>
      <c r="D41" s="15" t="n">
        <v>0</v>
      </c>
      <c r="E41" s="15" t="n">
        <v>0</v>
      </c>
      <c r="F41" s="16" t="n">
        <f aca="false">D41-E41</f>
        <v>0</v>
      </c>
      <c r="G41" s="17" t="n">
        <f aca="false">IFERROR((D41-E41)/ABS(E41),0)</f>
        <v>0</v>
      </c>
      <c r="H41" s="15" t="n">
        <v>0</v>
      </c>
      <c r="I41" s="15" t="n">
        <v>0</v>
      </c>
      <c r="J41" s="16" t="n">
        <f aca="false">H41-I41</f>
        <v>0</v>
      </c>
      <c r="K41" s="17" t="n">
        <f aca="false">IFERROR((H41-I41)/ABS(I41),0)</f>
        <v>0</v>
      </c>
      <c r="L41" s="15" t="n">
        <v>0</v>
      </c>
      <c r="M41" s="15" t="n">
        <v>0</v>
      </c>
      <c r="N41" s="16" t="n">
        <f aca="false">L41-M41</f>
        <v>0</v>
      </c>
      <c r="O41" s="17" t="n">
        <f aca="false">IFERROR((L41-M41)/ABS(M41),0)</f>
        <v>0</v>
      </c>
      <c r="P41" s="15" t="n">
        <v>0</v>
      </c>
      <c r="Q41" s="15" t="n">
        <v>0</v>
      </c>
      <c r="R41" s="16" t="n">
        <f aca="false">P41-Q41</f>
        <v>0</v>
      </c>
      <c r="S41" s="17" t="n">
        <f aca="false">IFERROR((P41-Q41)/ABS(Q41),0)</f>
        <v>0</v>
      </c>
      <c r="T41" s="15" t="n">
        <v>0</v>
      </c>
      <c r="U41" s="15" t="n">
        <v>0</v>
      </c>
      <c r="V41" s="16" t="n">
        <f aca="false">T41-U41</f>
        <v>0</v>
      </c>
      <c r="W41" s="17" t="n">
        <f aca="false">IFERROR((T41-U41)/ABS(U41),0)</f>
        <v>0</v>
      </c>
      <c r="X41" s="16" t="n">
        <f aca="false">D41+H41+L41+P41+T41</f>
        <v>0</v>
      </c>
      <c r="Y41" s="16" t="n">
        <f aca="false">D41+H41+L41+P41+T41</f>
        <v>0</v>
      </c>
      <c r="Z41" s="16" t="n">
        <f aca="false">X41-Y41</f>
        <v>0</v>
      </c>
      <c r="AA41" s="17" t="n">
        <f aca="false">IFERROR((X41-Y41)/ABS(Y41),0)</f>
        <v>0</v>
      </c>
      <c r="AB41" s="15" t="n">
        <v>0</v>
      </c>
      <c r="AC41" s="15" t="n">
        <v>0</v>
      </c>
      <c r="AD41" s="16" t="n">
        <f aca="false">AB41-AC41</f>
        <v>0</v>
      </c>
      <c r="AE41" s="17" t="n">
        <f aca="false">IFERROR((AB41-AC41)/ABS(AC41),0)</f>
        <v>0</v>
      </c>
      <c r="AF41" s="16" t="n">
        <f aca="false">X41+AB41</f>
        <v>0</v>
      </c>
      <c r="AG41" s="16" t="n">
        <f aca="false">X41+AB41</f>
        <v>0</v>
      </c>
      <c r="AH41" s="16" t="n">
        <f aca="false">AF41-AG41</f>
        <v>0</v>
      </c>
      <c r="AI41" s="17" t="n">
        <f aca="false">IFERROR((AF41-AG41)/ABS(AG41),0)</f>
        <v>0</v>
      </c>
    </row>
    <row r="42" customFormat="false" ht="15" hidden="false" customHeight="true" outlineLevel="0" collapsed="false">
      <c r="A42" s="26" t="n">
        <v>0</v>
      </c>
      <c r="B42" s="27" t="s">
        <v>58</v>
      </c>
      <c r="C42" s="27"/>
      <c r="D42" s="28" t="n">
        <f aca="false">D40-D41</f>
        <v>1858500</v>
      </c>
      <c r="E42" s="28" t="n">
        <f aca="false">E40-E41</f>
        <v>1654600</v>
      </c>
      <c r="F42" s="28" t="n">
        <f aca="false">D42-E42</f>
        <v>203900</v>
      </c>
      <c r="G42" s="29" t="n">
        <f aca="false">IFERROR((D42-E42)/ABS(E42),0)</f>
        <v>0.123232201136226</v>
      </c>
      <c r="H42" s="28" t="n">
        <f aca="false">H40-H41</f>
        <v>392400</v>
      </c>
      <c r="I42" s="28" t="n">
        <f aca="false">I40-I41</f>
        <v>374100</v>
      </c>
      <c r="J42" s="28" t="n">
        <f aca="false">H42-I42</f>
        <v>18300</v>
      </c>
      <c r="K42" s="29" t="n">
        <f aca="false">IFERROR((H42-I42)/ABS(I42),0)</f>
        <v>0.0489174017642342</v>
      </c>
      <c r="L42" s="28" t="n">
        <f aca="false">L40-L41</f>
        <v>132600</v>
      </c>
      <c r="M42" s="28" t="n">
        <f aca="false">M40-M41</f>
        <v>189750</v>
      </c>
      <c r="N42" s="28" t="n">
        <f aca="false">L42-M42</f>
        <v>-57150</v>
      </c>
      <c r="O42" s="29" t="n">
        <f aca="false">IFERROR((L42-M42)/ABS(M42),0)</f>
        <v>-0.301185770750988</v>
      </c>
      <c r="P42" s="28" t="n">
        <f aca="false">P40-P41</f>
        <v>93650</v>
      </c>
      <c r="Q42" s="28" t="n">
        <f aca="false">Q40-Q41</f>
        <v>76080</v>
      </c>
      <c r="R42" s="28" t="n">
        <f aca="false">P42-Q42</f>
        <v>17570</v>
      </c>
      <c r="S42" s="29" t="n">
        <f aca="false">IFERROR((P42-Q42)/ABS(Q42),0)</f>
        <v>0.230941114616194</v>
      </c>
      <c r="T42" s="28" t="n">
        <f aca="false">T40-T41</f>
        <v>240800</v>
      </c>
      <c r="U42" s="28" t="n">
        <f aca="false">U40-U41</f>
        <v>178600</v>
      </c>
      <c r="V42" s="28" t="n">
        <f aca="false">T42-U42</f>
        <v>62200</v>
      </c>
      <c r="W42" s="29" t="n">
        <f aca="false">IFERROR((T42-U42)/ABS(U42),0)</f>
        <v>0.348264277715566</v>
      </c>
      <c r="X42" s="28" t="n">
        <f aca="false">D42+H42+L42+P42+T42</f>
        <v>2717950</v>
      </c>
      <c r="Y42" s="28" t="n">
        <f aca="false">E42+I42+M42+Q42+U42</f>
        <v>2473130</v>
      </c>
      <c r="Z42" s="28" t="n">
        <f aca="false">X42-Y42</f>
        <v>244820</v>
      </c>
      <c r="AA42" s="29" t="n">
        <f aca="false">IFERROR((X42-Y42)/ABS(Y42),0)</f>
        <v>0.0989919656467715</v>
      </c>
      <c r="AB42" s="28" t="n">
        <f aca="false">AB40-AB41</f>
        <v>-538000</v>
      </c>
      <c r="AC42" s="28" t="n">
        <f aca="false">AC40-AC41</f>
        <v>-497000</v>
      </c>
      <c r="AD42" s="28" t="n">
        <f aca="false">AB42-AC42</f>
        <v>-41000</v>
      </c>
      <c r="AE42" s="29" t="n">
        <f aca="false">IFERROR((AB42-AC42)/ABS(AC42),0)</f>
        <v>-0.0824949698189135</v>
      </c>
      <c r="AF42" s="28" t="n">
        <f aca="false">X42+AB42</f>
        <v>2179950</v>
      </c>
      <c r="AG42" s="28" t="n">
        <f aca="false">Y42+AC42</f>
        <v>1976130</v>
      </c>
      <c r="AH42" s="28" t="n">
        <f aca="false">AF42-AG42</f>
        <v>203820</v>
      </c>
      <c r="AI42" s="29" t="n">
        <f aca="false">IFERROR((AF42-AG42)/ABS(AG42),0)</f>
        <v>0.103140987688057</v>
      </c>
    </row>
  </sheetData>
  <mergeCells count="16">
    <mergeCell ref="D1:AI1"/>
    <mergeCell ref="A2:A4"/>
    <mergeCell ref="B2:B4"/>
    <mergeCell ref="C2:C4"/>
    <mergeCell ref="D2:G2"/>
    <mergeCell ref="H2:S2"/>
    <mergeCell ref="T2:W2"/>
    <mergeCell ref="X2:AI2"/>
    <mergeCell ref="D3:G3"/>
    <mergeCell ref="H3:K3"/>
    <mergeCell ref="L3:O3"/>
    <mergeCell ref="P3:S3"/>
    <mergeCell ref="T3:W3"/>
    <mergeCell ref="X3:AA3"/>
    <mergeCell ref="AB3:AE3"/>
    <mergeCell ref="AF3:AI3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2026-05-04T13:59:31Z</dcterms:created>
  <dc:creator>openpyxl</dc:creator>
  <dc:description/>
  <dc:language>en-US</dc:language>
  <cp:lastModifiedBy/>
  <dcterms:modified xsi:type="dcterms:W3CDTF">2026-05-05T12:29:36Z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