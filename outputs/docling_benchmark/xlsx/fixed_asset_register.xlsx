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固定資産管理簿" sheetId="1" state="visible" r:id="rId3"/>
  </sheets>
  <definedNames>
    <definedName function="false" hidden="false" localSheetId="0" name="_xlnm.Print_Titles" vbProcedure="false">固定資産管理簿!$2:$3</definedName>
    <definedName function="false" hidden="true" localSheetId="0" name="_xlnm._FilterDatabase" vbProcedure="false">固定資産管理簿!$A$3:$BI$83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<sst xmlns="http://schemas.openxmlformats.org/spreadsheetml/2006/main" count="2074" uniqueCount="553">
  <si>
    <t xml:space="preserve">固定資産管理簿 — Fixed Asset Register</t>
  </si>
  <si>
    <t xml:space="preserve">資産識別</t>
  </si>
  <si>
    <t xml:space="preserve">取得情報</t>
  </si>
  <si>
    <t xml:space="preserve">期首残高</t>
  </si>
  <si>
    <t xml:space="preserve">月次減価償却費 (千円)</t>
  </si>
  <si>
    <t xml:space="preserve">期末残高</t>
  </si>
  <si>
    <t xml:space="preserve">所在情報</t>
  </si>
  <si>
    <t xml:space="preserve">購入先・保守</t>
  </si>
  <si>
    <t xml:space="preserve">減損評価</t>
  </si>
  <si>
    <t xml:space="preserve">内部統制(J-SOX)</t>
  </si>
  <si>
    <t xml:space="preserve">異動・除売却</t>
  </si>
  <si>
    <t xml:space="preserve">その他</t>
  </si>
  <si>
    <t xml:space="preserve">資産ID</t>
  </si>
  <si>
    <t xml:space="preserve">資産名称</t>
  </si>
  <si>
    <t xml:space="preserve">種別</t>
  </si>
  <si>
    <t xml:space="preserve">勘定科目コード</t>
  </si>
  <si>
    <t xml:space="preserve">勘定科目</t>
  </si>
  <si>
    <t xml:space="preserve">細目</t>
  </si>
  <si>
    <t xml:space="preserve">取得日</t>
  </si>
  <si>
    <t xml:space="preserve">使用開始日</t>
  </si>
  <si>
    <t xml:space="preserve">取得原価(千円)</t>
  </si>
  <si>
    <t xml:space="preserve">耐用年数</t>
  </si>
  <si>
    <t xml:space="preserve">償却方法</t>
  </si>
  <si>
    <t xml:space="preserve">償却率</t>
  </si>
  <si>
    <t xml:space="preserve">残存価額(千円)</t>
  </si>
  <si>
    <t xml:space="preserve">期首簿価(千円)</t>
  </si>
  <si>
    <t xml:space="preserve">期首減価償却累計額(千円)</t>
  </si>
  <si>
    <r>
      <rPr>
        <b val="true"/>
        <sz val="9"/>
        <color rgb="FFFFFFFF"/>
        <rFont val="Arial"/>
        <family val="0"/>
        <charset val="1"/>
      </rPr>
      <t xml:space="preserve">4</t>
    </r>
    <r>
      <rPr>
        <b val="true"/>
        <sz val="9"/>
        <color rgb="FFFFFFFF"/>
        <rFont val="Noto Sans CJK SC"/>
        <family val="2"/>
      </rPr>
      <t xml:space="preserve">月償却</t>
    </r>
  </si>
  <si>
    <r>
      <rPr>
        <b val="true"/>
        <sz val="9"/>
        <color rgb="FFFFFFFF"/>
        <rFont val="Arial"/>
        <family val="0"/>
        <charset val="1"/>
      </rPr>
      <t xml:space="preserve">5</t>
    </r>
    <r>
      <rPr>
        <b val="true"/>
        <sz val="9"/>
        <color rgb="FFFFFFFF"/>
        <rFont val="Noto Sans CJK SC"/>
        <family val="2"/>
      </rPr>
      <t xml:space="preserve">月償却</t>
    </r>
  </si>
  <si>
    <r>
      <rPr>
        <b val="true"/>
        <sz val="9"/>
        <color rgb="FFFFFFFF"/>
        <rFont val="Arial"/>
        <family val="0"/>
        <charset val="1"/>
      </rPr>
      <t xml:space="preserve">6</t>
    </r>
    <r>
      <rPr>
        <b val="true"/>
        <sz val="9"/>
        <color rgb="FFFFFFFF"/>
        <rFont val="Noto Sans CJK SC"/>
        <family val="2"/>
      </rPr>
      <t xml:space="preserve">月償却</t>
    </r>
  </si>
  <si>
    <r>
      <rPr>
        <b val="true"/>
        <sz val="9"/>
        <color rgb="FFFFFFFF"/>
        <rFont val="Arial"/>
        <family val="0"/>
        <charset val="1"/>
      </rPr>
      <t xml:space="preserve">7</t>
    </r>
    <r>
      <rPr>
        <b val="true"/>
        <sz val="9"/>
        <color rgb="FFFFFFFF"/>
        <rFont val="Noto Sans CJK SC"/>
        <family val="2"/>
      </rPr>
      <t xml:space="preserve">月償却</t>
    </r>
  </si>
  <si>
    <r>
      <rPr>
        <b val="true"/>
        <sz val="9"/>
        <color rgb="FFFFFFFF"/>
        <rFont val="Arial"/>
        <family val="0"/>
        <charset val="1"/>
      </rPr>
      <t xml:space="preserve">8</t>
    </r>
    <r>
      <rPr>
        <b val="true"/>
        <sz val="9"/>
        <color rgb="FFFFFFFF"/>
        <rFont val="Noto Sans CJK SC"/>
        <family val="2"/>
      </rPr>
      <t xml:space="preserve">月償却</t>
    </r>
  </si>
  <si>
    <r>
      <rPr>
        <b val="true"/>
        <sz val="9"/>
        <color rgb="FFFFFFFF"/>
        <rFont val="Arial"/>
        <family val="0"/>
        <charset val="1"/>
      </rPr>
      <t xml:space="preserve">9</t>
    </r>
    <r>
      <rPr>
        <b val="true"/>
        <sz val="9"/>
        <color rgb="FFFFFFFF"/>
        <rFont val="Noto Sans CJK SC"/>
        <family val="2"/>
      </rPr>
      <t xml:space="preserve">月償却</t>
    </r>
  </si>
  <si>
    <r>
      <rPr>
        <b val="true"/>
        <sz val="9"/>
        <color rgb="FFFFFFFF"/>
        <rFont val="Arial"/>
        <family val="0"/>
        <charset val="1"/>
      </rPr>
      <t xml:space="preserve">10</t>
    </r>
    <r>
      <rPr>
        <b val="true"/>
        <sz val="9"/>
        <color rgb="FFFFFFFF"/>
        <rFont val="Noto Sans CJK SC"/>
        <family val="2"/>
      </rPr>
      <t xml:space="preserve">月償却</t>
    </r>
  </si>
  <si>
    <r>
      <rPr>
        <b val="true"/>
        <sz val="9"/>
        <color rgb="FFFFFFFF"/>
        <rFont val="Arial"/>
        <family val="0"/>
        <charset val="1"/>
      </rPr>
      <t xml:space="preserve">11</t>
    </r>
    <r>
      <rPr>
        <b val="true"/>
        <sz val="9"/>
        <color rgb="FFFFFFFF"/>
        <rFont val="Noto Sans CJK SC"/>
        <family val="2"/>
      </rPr>
      <t xml:space="preserve">月償却</t>
    </r>
  </si>
  <si>
    <r>
      <rPr>
        <b val="true"/>
        <sz val="9"/>
        <color rgb="FFFFFFFF"/>
        <rFont val="Arial"/>
        <family val="0"/>
        <charset val="1"/>
      </rPr>
      <t xml:space="preserve">12</t>
    </r>
    <r>
      <rPr>
        <b val="true"/>
        <sz val="9"/>
        <color rgb="FFFFFFFF"/>
        <rFont val="Noto Sans CJK SC"/>
        <family val="2"/>
      </rPr>
      <t xml:space="preserve">月償却</t>
    </r>
  </si>
  <si>
    <r>
      <rPr>
        <b val="true"/>
        <sz val="9"/>
        <color rgb="FFFFFFFF"/>
        <rFont val="Arial"/>
        <family val="0"/>
        <charset val="1"/>
      </rPr>
      <t xml:space="preserve">1</t>
    </r>
    <r>
      <rPr>
        <b val="true"/>
        <sz val="9"/>
        <color rgb="FFFFFFFF"/>
        <rFont val="Noto Sans CJK SC"/>
        <family val="2"/>
      </rPr>
      <t xml:space="preserve">月償却</t>
    </r>
  </si>
  <si>
    <r>
      <rPr>
        <b val="true"/>
        <sz val="9"/>
        <color rgb="FFFFFFFF"/>
        <rFont val="Arial"/>
        <family val="0"/>
        <charset val="1"/>
      </rPr>
      <t xml:space="preserve">2</t>
    </r>
    <r>
      <rPr>
        <b val="true"/>
        <sz val="9"/>
        <color rgb="FFFFFFFF"/>
        <rFont val="Noto Sans CJK SC"/>
        <family val="2"/>
      </rPr>
      <t xml:space="preserve">月償却</t>
    </r>
  </si>
  <si>
    <r>
      <rPr>
        <b val="true"/>
        <sz val="9"/>
        <color rgb="FFFFFFFF"/>
        <rFont val="Arial"/>
        <family val="0"/>
        <charset val="1"/>
      </rPr>
      <t xml:space="preserve">3</t>
    </r>
    <r>
      <rPr>
        <b val="true"/>
        <sz val="9"/>
        <color rgb="FFFFFFFF"/>
        <rFont val="Noto Sans CJK SC"/>
        <family val="2"/>
      </rPr>
      <t xml:space="preserve">月償却</t>
    </r>
  </si>
  <si>
    <t xml:space="preserve">期中償却費合計</t>
  </si>
  <si>
    <t xml:space="preserve">期末減価償却累計額</t>
  </si>
  <si>
    <t xml:space="preserve">期末簿価</t>
  </si>
  <si>
    <t xml:space="preserve">設置場所</t>
  </si>
  <si>
    <t xml:space="preserve">設置部署</t>
  </si>
  <si>
    <t xml:space="preserve">部署コード</t>
  </si>
  <si>
    <t xml:space="preserve">管理担当者</t>
  </si>
  <si>
    <t xml:space="preserve">製造番号</t>
  </si>
  <si>
    <t xml:space="preserve">購入先</t>
  </si>
  <si>
    <t xml:space="preserve">購入先コード</t>
  </si>
  <si>
    <t xml:space="preserve">保守契約</t>
  </si>
  <si>
    <t xml:space="preserve">保守業者</t>
  </si>
  <si>
    <t xml:space="preserve">保守期限</t>
  </si>
  <si>
    <t xml:space="preserve">直近点検日</t>
  </si>
  <si>
    <t xml:space="preserve">次回点検予定日</t>
  </si>
  <si>
    <t xml:space="preserve">減損兆候</t>
  </si>
  <si>
    <t xml:space="preserve">減損評価金額(千円)</t>
  </si>
  <si>
    <t xml:space="preserve">減損損失計上額(千円)</t>
  </si>
  <si>
    <t xml:space="preserve">減損後簿価(千円)</t>
  </si>
  <si>
    <t xml:space="preserve">物理タグ番号</t>
  </si>
  <si>
    <t xml:space="preserve">写真URL</t>
  </si>
  <si>
    <r>
      <rPr>
        <b val="true"/>
        <sz val="9"/>
        <color rgb="FFFFFFFF"/>
        <rFont val="Arial"/>
        <family val="0"/>
        <charset val="1"/>
      </rPr>
      <t xml:space="preserve">J-SOX</t>
    </r>
    <r>
      <rPr>
        <b val="true"/>
        <sz val="9"/>
        <color rgb="FFFFFFFF"/>
        <rFont val="Noto Sans CJK SC"/>
        <family val="2"/>
      </rPr>
      <t xml:space="preserve">対象</t>
    </r>
  </si>
  <si>
    <t xml:space="preserve">重要性区分</t>
  </si>
  <si>
    <t xml:space="preserve">ステータス</t>
  </si>
  <si>
    <t xml:space="preserve">監査人レビュー日</t>
  </si>
  <si>
    <t xml:space="preserve">監査人コメント</t>
  </si>
  <si>
    <t xml:space="preserve">異動有</t>
  </si>
  <si>
    <t xml:space="preserve">直近異動日</t>
  </si>
  <si>
    <t xml:space="preserve">除却予定日</t>
  </si>
  <si>
    <t xml:space="preserve">売却予定価格(千円)</t>
  </si>
  <si>
    <t xml:space="preserve">売却済日</t>
  </si>
  <si>
    <t xml:space="preserve">売却価格(千円)</t>
  </si>
  <si>
    <t xml:space="preserve">売却損益(千円)</t>
  </si>
  <si>
    <t xml:space="preserve">備考</t>
  </si>
  <si>
    <t xml:space="preserve">FA-2025000001</t>
  </si>
  <si>
    <r>
      <rPr>
        <sz val="8.5"/>
        <rFont val="Arial"/>
        <family val="0"/>
        <charset val="1"/>
      </rPr>
      <t xml:space="preserve">ERP ⅠⅡⅢⅣⅤ5</t>
    </r>
    <r>
      <rPr>
        <sz val="8.5"/>
        <rFont val="Noto Sans CJK SC"/>
        <family val="2"/>
      </rPr>
      <t xml:space="preserve">号</t>
    </r>
  </si>
  <si>
    <t xml:space="preserve">ソフトウェア</t>
  </si>
  <si>
    <t xml:space="preserve">2700</t>
  </si>
  <si>
    <t xml:space="preserve">本体</t>
  </si>
  <si>
    <t xml:space="preserve">定額</t>
  </si>
  <si>
    <t xml:space="preserve">東京本社</t>
  </si>
  <si>
    <t xml:space="preserve">経理部</t>
  </si>
  <si>
    <t xml:space="preserve">D002</t>
  </si>
  <si>
    <t xml:space="preserve">佐藤花子</t>
  </si>
  <si>
    <t xml:space="preserve">SN-198246-B</t>
  </si>
  <si>
    <t xml:space="preserve">Sample Tech Industries Co.</t>
  </si>
  <si>
    <t xml:space="preserve">V001</t>
  </si>
  <si>
    <t xml:space="preserve">有</t>
  </si>
  <si>
    <t xml:space="preserve">無</t>
  </si>
  <si>
    <t xml:space="preserve">PT95181</t>
  </si>
  <si>
    <t xml:space="preserve">https://intranet.example.local/fa/photos/0001.jpg</t>
  </si>
  <si>
    <t xml:space="preserve">—</t>
  </si>
  <si>
    <t xml:space="preserve">軽微</t>
  </si>
  <si>
    <t xml:space="preserve">現役</t>
  </si>
  <si>
    <t xml:space="preserve">保守契約継続を推奨</t>
  </si>
  <si>
    <t xml:space="preserve">FA-2025000002</t>
  </si>
  <si>
    <t xml:space="preserve">受変電設備 ⅠⅡⅢⅣⅤ46号</t>
  </si>
  <si>
    <t xml:space="preserve">建物附属設備</t>
  </si>
  <si>
    <t xml:space="preserve">2110</t>
  </si>
  <si>
    <t xml:space="preserve">オプション</t>
  </si>
  <si>
    <t xml:space="preserve">シンガポール現法</t>
  </si>
  <si>
    <t xml:space="preserve">海外営業部</t>
  </si>
  <si>
    <t xml:space="preserve">D901</t>
  </si>
  <si>
    <t xml:space="preserve">Tan, K.</t>
  </si>
  <si>
    <t xml:space="preserve">SN-733052-C</t>
  </si>
  <si>
    <t xml:space="preserve">Mock Heavy Industries Ltd.</t>
  </si>
  <si>
    <t xml:space="preserve">V003</t>
  </si>
  <si>
    <t xml:space="preserve">PT59615</t>
  </si>
  <si>
    <t xml:space="preserve">https://intranet.example.local/fa/photos/0002.jpg</t>
  </si>
  <si>
    <t xml:space="preserve">重要</t>
  </si>
  <si>
    <t xml:space="preserve">ラベル劣化 → 再貼付指示</t>
  </si>
  <si>
    <t xml:space="preserve">次年度更新候補</t>
  </si>
  <si>
    <t xml:space="preserve">FA-2025000003</t>
  </si>
  <si>
    <r>
      <rPr>
        <sz val="8.5"/>
        <rFont val="Arial"/>
        <family val="0"/>
        <charset val="1"/>
      </rPr>
      <t xml:space="preserve">ERP ⅠⅡⅢⅣⅤ36</t>
    </r>
    <r>
      <rPr>
        <sz val="8.5"/>
        <rFont val="Noto Sans CJK SC"/>
        <family val="2"/>
      </rPr>
      <t xml:space="preserve">号</t>
    </r>
  </si>
  <si>
    <t xml:space="preserve">SN-766563-C</t>
  </si>
  <si>
    <t xml:space="preserve">PT99593</t>
  </si>
  <si>
    <t xml:space="preserve">https://intranet.example.local/fa/photos/0003.jpg</t>
  </si>
  <si>
    <t xml:space="preserve">通常</t>
  </si>
  <si>
    <t xml:space="preserve">管理場所変更の確認要</t>
  </si>
  <si>
    <t xml:space="preserve">本体一括取得</t>
  </si>
  <si>
    <t xml:space="preserve">FA-2025000004</t>
  </si>
  <si>
    <t xml:space="preserve">配送トラック ⅠⅡⅢⅣⅤ35号</t>
  </si>
  <si>
    <t xml:space="preserve">車両運搬具</t>
  </si>
  <si>
    <t xml:space="preserve">2300</t>
  </si>
  <si>
    <t xml:space="preserve">定率</t>
  </si>
  <si>
    <t xml:space="preserve">大阪支店</t>
  </si>
  <si>
    <t xml:space="preserve">営業二部</t>
  </si>
  <si>
    <t xml:space="preserve">D201</t>
  </si>
  <si>
    <t xml:space="preserve">高橋三郎</t>
  </si>
  <si>
    <t xml:space="preserve">SN-321231-E</t>
  </si>
  <si>
    <t xml:space="preserve">Demo Construction Group</t>
  </si>
  <si>
    <t xml:space="preserve">V006</t>
  </si>
  <si>
    <t xml:space="preserve">PT61856</t>
  </si>
  <si>
    <t xml:space="preserve">https://intranet.example.local/fa/photos/0004.jpg</t>
  </si>
  <si>
    <t xml:space="preserve">保守延長契約検討中</t>
  </si>
  <si>
    <t xml:space="preserve">FA-2025000005</t>
  </si>
  <si>
    <r>
      <rPr>
        <sz val="8.5"/>
        <rFont val="Arial"/>
        <family val="0"/>
        <charset val="1"/>
      </rPr>
      <t xml:space="preserve">ERP ⅠⅡⅢⅣⅤ15</t>
    </r>
    <r>
      <rPr>
        <sz val="8.5"/>
        <rFont val="Noto Sans CJK SC"/>
        <family val="2"/>
      </rPr>
      <t xml:space="preserve">号</t>
    </r>
  </si>
  <si>
    <t xml:space="preserve">附属</t>
  </si>
  <si>
    <t xml:space="preserve">SN-757924-B</t>
  </si>
  <si>
    <t xml:space="preserve">テスト・ソリューションズ</t>
  </si>
  <si>
    <t xml:space="preserve">V005</t>
  </si>
  <si>
    <t xml:space="preserve">PT60019</t>
  </si>
  <si>
    <t xml:space="preserve">https://intranet.example.local/fa/photos/0005.jpg</t>
  </si>
  <si>
    <t xml:space="preserve">○</t>
  </si>
  <si>
    <r>
      <rPr>
        <sz val="8.5"/>
        <rFont val="Arial"/>
        <family val="0"/>
        <charset val="1"/>
      </rPr>
      <t xml:space="preserve">OK / </t>
    </r>
    <r>
      <rPr>
        <sz val="8.5"/>
        <rFont val="Noto Sans CJK SC"/>
        <family val="2"/>
      </rPr>
      <t xml:space="preserve">実査確認済</t>
    </r>
  </si>
  <si>
    <t xml:space="preserve">FA-2025000006</t>
  </si>
  <si>
    <r>
      <rPr>
        <sz val="8.5"/>
        <rFont val="Arial"/>
        <family val="0"/>
        <charset val="1"/>
      </rPr>
      <t xml:space="preserve">ERP ⅠⅡⅢⅣⅤ65</t>
    </r>
    <r>
      <rPr>
        <sz val="8.5"/>
        <rFont val="Noto Sans CJK SC"/>
        <family val="2"/>
      </rPr>
      <t xml:space="preserve">号</t>
    </r>
  </si>
  <si>
    <t xml:space="preserve">SN-632342-A</t>
  </si>
  <si>
    <t xml:space="preserve">PT36071</t>
  </si>
  <si>
    <t xml:space="preserve">https://intranet.example.local/fa/photos/0006.jpg</t>
  </si>
  <si>
    <t xml:space="preserve">リース満了時に資産化</t>
  </si>
  <si>
    <t xml:space="preserve">FA-2025000007</t>
  </si>
  <si>
    <t xml:space="preserve">物流倉庫 ⅠⅡⅢⅣⅤ11号</t>
  </si>
  <si>
    <t xml:space="preserve">建物</t>
  </si>
  <si>
    <t xml:space="preserve">2100</t>
  </si>
  <si>
    <t xml:space="preserve">福岡支店</t>
  </si>
  <si>
    <t xml:space="preserve">営業三部</t>
  </si>
  <si>
    <t xml:space="preserve">D301</t>
  </si>
  <si>
    <t xml:space="preserve">渡辺四郎</t>
  </si>
  <si>
    <t xml:space="preserve">SN-955662-A</t>
  </si>
  <si>
    <t xml:space="preserve">架空エレクトロニクス</t>
  </si>
  <si>
    <t xml:space="preserve">V004</t>
  </si>
  <si>
    <t xml:space="preserve">PT72296</t>
  </si>
  <si>
    <t xml:space="preserve">https://intranet.example.local/fa/photos/0007.jpg</t>
  </si>
  <si>
    <t xml:space="preserve">現物未確認 → 再点検要</t>
  </si>
  <si>
    <t xml:space="preserve">従前資産からの振替</t>
  </si>
  <si>
    <t xml:space="preserve">FA-2025000008</t>
  </si>
  <si>
    <r>
      <rPr>
        <sz val="8.5"/>
        <rFont val="Arial"/>
        <family val="0"/>
        <charset val="1"/>
      </rPr>
      <t xml:space="preserve">ERP ⅠⅡⅢⅣⅤ29</t>
    </r>
    <r>
      <rPr>
        <sz val="8.5"/>
        <rFont val="Noto Sans CJK SC"/>
        <family val="2"/>
      </rPr>
      <t xml:space="preserve">号</t>
    </r>
  </si>
  <si>
    <t xml:space="preserve">横浜工場</t>
  </si>
  <si>
    <t xml:space="preserve">品質保証部</t>
  </si>
  <si>
    <t xml:space="preserve">D102</t>
  </si>
  <si>
    <t xml:space="preserve">鈴木次郎</t>
  </si>
  <si>
    <t xml:space="preserve">SN-454508-A</t>
  </si>
  <si>
    <t xml:space="preserve">PT19305</t>
  </si>
  <si>
    <t xml:space="preserve">https://intranet.example.local/fa/photos/0008.jpg</t>
  </si>
  <si>
    <t xml:space="preserve">休止</t>
  </si>
  <si>
    <t xml:space="preserve">FA-2025000009</t>
  </si>
  <si>
    <t xml:space="preserve">防災設備 ⅠⅡⅢⅣⅤ32号</t>
  </si>
  <si>
    <t xml:space="preserve">SN-946721-D</t>
  </si>
  <si>
    <t xml:space="preserve">PT63883</t>
  </si>
  <si>
    <t xml:space="preserve">https://intranet.example.local/fa/photos/0009.jpg</t>
  </si>
  <si>
    <t xml:space="preserve">除却済</t>
  </si>
  <si>
    <t xml:space="preserve">FA-2025000010</t>
  </si>
  <si>
    <t xml:space="preserve">受変電設備 ⅠⅡⅢⅣⅤ7号</t>
  </si>
  <si>
    <t xml:space="preserve">研究センター</t>
  </si>
  <si>
    <t xml:space="preserve">研究開発部</t>
  </si>
  <si>
    <t xml:space="preserve">D701</t>
  </si>
  <si>
    <t xml:space="preserve">伊藤五郎</t>
  </si>
  <si>
    <t xml:space="preserve">SN-197793-B</t>
  </si>
  <si>
    <t xml:space="preserve">ダミー商事株式会社</t>
  </si>
  <si>
    <t xml:space="preserve">V002</t>
  </si>
  <si>
    <t xml:space="preserve">PT17685</t>
  </si>
  <si>
    <t xml:space="preserve">https://intranet.example.local/fa/photos/0010.jpg</t>
  </si>
  <si>
    <t xml:space="preserve">FA-2025000011</t>
  </si>
  <si>
    <t xml:space="preserve">フォークリフト ⅠⅡⅢⅣⅤ96号</t>
  </si>
  <si>
    <t xml:space="preserve">SN-159942-A</t>
  </si>
  <si>
    <t xml:space="preserve">PT76562</t>
  </si>
  <si>
    <t xml:space="preserve">https://intranet.example.local/fa/photos/0011.jpg</t>
  </si>
  <si>
    <t xml:space="preserve">FA-2025000012</t>
  </si>
  <si>
    <t xml:space="preserve">計測器 ⅠⅡⅢⅣⅤ34号</t>
  </si>
  <si>
    <t xml:space="preserve">工具器具備品</t>
  </si>
  <si>
    <t xml:space="preserve">2400</t>
  </si>
  <si>
    <t xml:space="preserve">SN-802258-F</t>
  </si>
  <si>
    <t xml:space="preserve">PT49321</t>
  </si>
  <si>
    <t xml:space="preserve">https://intranet.example.local/fa/photos/0012.jpg</t>
  </si>
  <si>
    <t xml:space="preserve">FA-2025000013</t>
  </si>
  <si>
    <t xml:space="preserve">工場棟 ⅠⅡⅢⅣⅤ57号</t>
  </si>
  <si>
    <t xml:space="preserve">SN-741390-F</t>
  </si>
  <si>
    <t xml:space="preserve">PT96951</t>
  </si>
  <si>
    <t xml:space="preserve">https://intranet.example.local/fa/photos/0013.jpg</t>
  </si>
  <si>
    <t xml:space="preserve">FA-2025000014</t>
  </si>
  <si>
    <t xml:space="preserve">SN-103717-C</t>
  </si>
  <si>
    <t xml:space="preserve">PT67912</t>
  </si>
  <si>
    <t xml:space="preserve">https://intranet.example.local/fa/photos/0014.jpg</t>
  </si>
  <si>
    <t xml:space="preserve">FA-2025000015</t>
  </si>
  <si>
    <t xml:space="preserve">工場棟 ⅠⅡⅢⅣⅤ46号</t>
  </si>
  <si>
    <t xml:space="preserve">SN-815198-B</t>
  </si>
  <si>
    <t xml:space="preserve">PT63264</t>
  </si>
  <si>
    <t xml:space="preserve">https://intranet.example.local/fa/photos/0015.jpg</t>
  </si>
  <si>
    <t xml:space="preserve">売却済</t>
  </si>
  <si>
    <t xml:space="preserve">FA-2025000016</t>
  </si>
  <si>
    <t xml:space="preserve">検査装置 ⅠⅡⅢⅣⅤ26号</t>
  </si>
  <si>
    <t xml:space="preserve">機械装置</t>
  </si>
  <si>
    <t xml:space="preserve">2200</t>
  </si>
  <si>
    <t xml:space="preserve">SN-466643-C</t>
  </si>
  <si>
    <t xml:space="preserve">PT53025</t>
  </si>
  <si>
    <t xml:space="preserve">https://intranet.example.local/fa/photos/0016.jpg</t>
  </si>
  <si>
    <t xml:space="preserve">FA-2025000017</t>
  </si>
  <si>
    <t xml:space="preserve">営業車 ⅠⅡⅢⅣⅤ45号</t>
  </si>
  <si>
    <t xml:space="preserve">SN-557592-E</t>
  </si>
  <si>
    <t xml:space="preserve">PT34914</t>
  </si>
  <si>
    <t xml:space="preserve">https://intranet.example.local/fa/photos/0017.jpg</t>
  </si>
  <si>
    <t xml:space="preserve">FA-2025000018</t>
  </si>
  <si>
    <t xml:space="preserve">SN-799287-D</t>
  </si>
  <si>
    <t xml:space="preserve">PT65108</t>
  </si>
  <si>
    <t xml:space="preserve">https://intranet.example.local/fa/photos/0018.jpg</t>
  </si>
  <si>
    <t xml:space="preserve">FA-2025000019</t>
  </si>
  <si>
    <t xml:space="preserve">物流倉庫 ⅠⅡⅢⅣⅤ95号</t>
  </si>
  <si>
    <t xml:space="preserve">SN-790855-A</t>
  </si>
  <si>
    <t xml:space="preserve">PT40784</t>
  </si>
  <si>
    <t xml:space="preserve">https://intranet.example.local/fa/photos/0019.jpg</t>
  </si>
  <si>
    <t xml:space="preserve">FA-2025000020</t>
  </si>
  <si>
    <t xml:space="preserve">営業車 ⅠⅡⅢⅣⅤ97号</t>
  </si>
  <si>
    <t xml:space="preserve">SN-916232-D</t>
  </si>
  <si>
    <t xml:space="preserve">PT25906</t>
  </si>
  <si>
    <t xml:space="preserve">https://intranet.example.local/fa/photos/0020.jpg</t>
  </si>
  <si>
    <t xml:space="preserve">FA-2025000021</t>
  </si>
  <si>
    <t xml:space="preserve">デスク ⅠⅡⅢⅣⅤ34号</t>
  </si>
  <si>
    <t xml:space="preserve">SN-980660-F</t>
  </si>
  <si>
    <t xml:space="preserve">PT67654</t>
  </si>
  <si>
    <t xml:space="preserve">https://intranet.example.local/fa/photos/0021.jpg</t>
  </si>
  <si>
    <t xml:space="preserve">FA-2025000022</t>
  </si>
  <si>
    <t xml:space="preserve">受変電設備 ⅠⅡⅢⅣⅤ54号</t>
  </si>
  <si>
    <t xml:space="preserve">SN-316881-D</t>
  </si>
  <si>
    <t xml:space="preserve">PT85456</t>
  </si>
  <si>
    <t xml:space="preserve">https://intranet.example.local/fa/photos/0022.jpg</t>
  </si>
  <si>
    <t xml:space="preserve">FA-2025000023</t>
  </si>
  <si>
    <t xml:space="preserve">複合機 ⅠⅡⅢⅣⅤ93号</t>
  </si>
  <si>
    <t xml:space="preserve">SN-981334-D</t>
  </si>
  <si>
    <t xml:space="preserve">PT83975</t>
  </si>
  <si>
    <t xml:space="preserve">https://intranet.example.local/fa/photos/0023.jpg</t>
  </si>
  <si>
    <t xml:space="preserve">FA-2025000024</t>
  </si>
  <si>
    <t xml:space="preserve">搬送ロボ ⅠⅡⅢⅣⅤ33号</t>
  </si>
  <si>
    <t xml:space="preserve">SN-593152-A</t>
  </si>
  <si>
    <t xml:space="preserve">PT18993</t>
  </si>
  <si>
    <t xml:space="preserve">https://intranet.example.local/fa/photos/0024.jpg</t>
  </si>
  <si>
    <t xml:space="preserve">FA-2025000025</t>
  </si>
  <si>
    <t xml:space="preserve">防災設備 ⅠⅡⅢⅣⅤ99号</t>
  </si>
  <si>
    <t xml:space="preserve">SN-275939-E</t>
  </si>
  <si>
    <t xml:space="preserve">PT24168</t>
  </si>
  <si>
    <t xml:space="preserve">https://intranet.example.local/fa/photos/0025.jpg</t>
  </si>
  <si>
    <t xml:space="preserve">FA-2025000026</t>
  </si>
  <si>
    <t xml:space="preserve">フォークリフト ⅠⅡⅢⅣⅤ45号</t>
  </si>
  <si>
    <t xml:space="preserve">SN-793655-C</t>
  </si>
  <si>
    <t xml:space="preserve">PT74251</t>
  </si>
  <si>
    <t xml:space="preserve">https://intranet.example.local/fa/photos/0026.jpg</t>
  </si>
  <si>
    <t xml:space="preserve">FA-2025000027</t>
  </si>
  <si>
    <t xml:space="preserve">会計パッケージ ⅠⅡⅢⅣⅤ56号</t>
  </si>
  <si>
    <t xml:space="preserve">製造一課</t>
  </si>
  <si>
    <t xml:space="preserve">D101</t>
  </si>
  <si>
    <t xml:space="preserve">田中一郎</t>
  </si>
  <si>
    <t xml:space="preserve">SN-437960-B</t>
  </si>
  <si>
    <t xml:space="preserve">PT41963</t>
  </si>
  <si>
    <t xml:space="preserve">https://intranet.example.local/fa/photos/0027.jpg</t>
  </si>
  <si>
    <t xml:space="preserve">FA-2025000028</t>
  </si>
  <si>
    <t xml:space="preserve">空調設備 ⅠⅡⅢⅣⅤ31号</t>
  </si>
  <si>
    <t xml:space="preserve">SN-612311-E</t>
  </si>
  <si>
    <t xml:space="preserve">PT74332</t>
  </si>
  <si>
    <t xml:space="preserve">https://intranet.example.local/fa/photos/0028.jpg</t>
  </si>
  <si>
    <t xml:space="preserve">FA-2025000029</t>
  </si>
  <si>
    <t xml:space="preserve">複合機 ⅠⅡⅢⅣⅤ90号</t>
  </si>
  <si>
    <t xml:space="preserve">SN-384076-C</t>
  </si>
  <si>
    <t xml:space="preserve">PT80236</t>
  </si>
  <si>
    <t xml:space="preserve">https://intranet.example.local/fa/photos/0029.jpg</t>
  </si>
  <si>
    <t xml:space="preserve">減損兆候の継続観察対象</t>
  </si>
  <si>
    <t xml:space="preserve">FA-2025000030</t>
  </si>
  <si>
    <r>
      <rPr>
        <sz val="8.5"/>
        <rFont val="Arial"/>
        <family val="0"/>
        <charset val="1"/>
      </rPr>
      <t xml:space="preserve">PC ⅠⅡⅢⅣⅤ36</t>
    </r>
    <r>
      <rPr>
        <sz val="8.5"/>
        <rFont val="Noto Sans CJK SC"/>
        <family val="2"/>
      </rPr>
      <t xml:space="preserve">号</t>
    </r>
  </si>
  <si>
    <t xml:space="preserve">SN-157174-E</t>
  </si>
  <si>
    <t xml:space="preserve">PT11607</t>
  </si>
  <si>
    <t xml:space="preserve">https://intranet.example.local/fa/photos/0030.jpg</t>
  </si>
  <si>
    <t xml:space="preserve">FA-2025000031</t>
  </si>
  <si>
    <t xml:space="preserve">営業車 ⅠⅡⅢⅣⅤ20号</t>
  </si>
  <si>
    <t xml:space="preserve">SN-189318-B</t>
  </si>
  <si>
    <t xml:space="preserve">PT39581</t>
  </si>
  <si>
    <t xml:space="preserve">https://intranet.example.local/fa/photos/0031.jpg</t>
  </si>
  <si>
    <t xml:space="preserve">FA-2025000032</t>
  </si>
  <si>
    <t xml:space="preserve">射出成型機 ⅠⅡⅢⅣⅤ31号</t>
  </si>
  <si>
    <t xml:space="preserve">営業一部</t>
  </si>
  <si>
    <t xml:space="preserve">D001</t>
  </si>
  <si>
    <t xml:space="preserve">山田太郎</t>
  </si>
  <si>
    <t xml:space="preserve">SN-678805-A</t>
  </si>
  <si>
    <t xml:space="preserve">PT14278</t>
  </si>
  <si>
    <t xml:space="preserve">https://intranet.example.local/fa/photos/0032.jpg</t>
  </si>
  <si>
    <t xml:space="preserve">FA-2025000033</t>
  </si>
  <si>
    <r>
      <rPr>
        <sz val="8.5"/>
        <rFont val="Arial"/>
        <family val="0"/>
        <charset val="1"/>
      </rPr>
      <t xml:space="preserve">BI</t>
    </r>
    <r>
      <rPr>
        <sz val="8.5"/>
        <rFont val="Noto Sans CJK SC"/>
        <family val="2"/>
      </rPr>
      <t xml:space="preserve">ツール ⅠⅡⅢⅣⅤ</t>
    </r>
    <r>
      <rPr>
        <sz val="8.5"/>
        <rFont val="Arial"/>
        <family val="0"/>
        <charset val="1"/>
      </rPr>
      <t xml:space="preserve">19</t>
    </r>
    <r>
      <rPr>
        <sz val="8.5"/>
        <rFont val="Noto Sans CJK SC"/>
        <family val="2"/>
      </rPr>
      <t xml:space="preserve">号</t>
    </r>
  </si>
  <si>
    <t xml:space="preserve">SN-162535-B</t>
  </si>
  <si>
    <t xml:space="preserve">PT67560</t>
  </si>
  <si>
    <t xml:space="preserve">https://intranet.example.local/fa/photos/0033.jpg</t>
  </si>
  <si>
    <t xml:space="preserve">FA-2025000034</t>
  </si>
  <si>
    <t xml:space="preserve">営業車 ⅠⅡⅢⅣⅤ87号</t>
  </si>
  <si>
    <t xml:space="preserve">SN-901909-F</t>
  </si>
  <si>
    <t xml:space="preserve">PT32962</t>
  </si>
  <si>
    <t xml:space="preserve">https://intranet.example.local/fa/photos/0034.jpg</t>
  </si>
  <si>
    <t xml:space="preserve">FA-2025000035</t>
  </si>
  <si>
    <t xml:space="preserve">工場棟 ⅠⅡⅢⅣⅤ89号</t>
  </si>
  <si>
    <t xml:space="preserve">SN-402218-F</t>
  </si>
  <si>
    <t xml:space="preserve">PT51224</t>
  </si>
  <si>
    <t xml:space="preserve">https://intranet.example.local/fa/photos/0035.jpg</t>
  </si>
  <si>
    <t xml:space="preserve">FA-2025000036</t>
  </si>
  <si>
    <t xml:space="preserve">会計パッケージ ⅠⅡⅢⅣⅤ27号</t>
  </si>
  <si>
    <t xml:space="preserve">SN-675898-B</t>
  </si>
  <si>
    <t xml:space="preserve">PT92578</t>
  </si>
  <si>
    <t xml:space="preserve">https://intranet.example.local/fa/photos/0036.jpg</t>
  </si>
  <si>
    <t xml:space="preserve">FA-2025000037</t>
  </si>
  <si>
    <t xml:space="preserve">配送トラック ⅠⅡⅢⅣⅤ66号</t>
  </si>
  <si>
    <t xml:space="preserve">SN-535673-D</t>
  </si>
  <si>
    <t xml:space="preserve">PT60277</t>
  </si>
  <si>
    <t xml:space="preserve">https://intranet.example.local/fa/photos/0037.jpg</t>
  </si>
  <si>
    <t xml:space="preserve">FA-2025000038</t>
  </si>
  <si>
    <t xml:space="preserve">検査装置 ⅠⅡⅢⅣⅤ58号</t>
  </si>
  <si>
    <t xml:space="preserve">SN-461888-C</t>
  </si>
  <si>
    <t xml:space="preserve">PT52176</t>
  </si>
  <si>
    <t xml:space="preserve">https://intranet.example.local/fa/photos/0038.jpg</t>
  </si>
  <si>
    <t xml:space="preserve">FA-2025000039</t>
  </si>
  <si>
    <t xml:space="preserve">配送トラック ⅠⅡⅢⅣⅤ57号</t>
  </si>
  <si>
    <t xml:space="preserve">SN-651499-D</t>
  </si>
  <si>
    <t xml:space="preserve">PT19807</t>
  </si>
  <si>
    <t xml:space="preserve">https://intranet.example.local/fa/photos/0039.jpg</t>
  </si>
  <si>
    <t xml:space="preserve">FA-2025000040</t>
  </si>
  <si>
    <t xml:space="preserve">複合機 ⅠⅡⅢⅣⅤ96号</t>
  </si>
  <si>
    <t xml:space="preserve">SN-555052-A</t>
  </si>
  <si>
    <t xml:space="preserve">PT49251</t>
  </si>
  <si>
    <t xml:space="preserve">https://intranet.example.local/fa/photos/0040.jpg</t>
  </si>
  <si>
    <t xml:space="preserve">FA-2025000041</t>
  </si>
  <si>
    <t xml:space="preserve">防災設備 ⅠⅡⅢⅣⅤ64号</t>
  </si>
  <si>
    <t xml:space="preserve">SN-343467-D</t>
  </si>
  <si>
    <t xml:space="preserve">PT70981</t>
  </si>
  <si>
    <t xml:space="preserve">https://intranet.example.local/fa/photos/0041.jpg</t>
  </si>
  <si>
    <t xml:space="preserve">FA-2025000042</t>
  </si>
  <si>
    <t xml:space="preserve">会計パッケージ ⅠⅡⅢⅣⅤ74号</t>
  </si>
  <si>
    <t xml:space="preserve">SN-833247-C</t>
  </si>
  <si>
    <t xml:space="preserve">PT16428</t>
  </si>
  <si>
    <t xml:space="preserve">https://intranet.example.local/fa/photos/0042.jpg</t>
  </si>
  <si>
    <t xml:space="preserve">FA-2025000043</t>
  </si>
  <si>
    <t xml:space="preserve">射出成型機 ⅠⅡⅢⅣⅤ94号</t>
  </si>
  <si>
    <t xml:space="preserve">SN-194511-C</t>
  </si>
  <si>
    <t xml:space="preserve">PT80701</t>
  </si>
  <si>
    <t xml:space="preserve">https://intranet.example.local/fa/photos/0043.jpg</t>
  </si>
  <si>
    <t xml:space="preserve">FA-2025000044</t>
  </si>
  <si>
    <t xml:space="preserve">検査装置 ⅠⅡⅢⅣⅤ12号</t>
  </si>
  <si>
    <t xml:space="preserve">SN-114594-C</t>
  </si>
  <si>
    <t xml:space="preserve">PT98125</t>
  </si>
  <si>
    <t xml:space="preserve">https://intranet.example.local/fa/photos/0044.jpg</t>
  </si>
  <si>
    <t xml:space="preserve">FA-2025000045</t>
  </si>
  <si>
    <t xml:space="preserve">工場棟 ⅠⅡⅢⅣⅤ15号</t>
  </si>
  <si>
    <t xml:space="preserve">SN-147549-A</t>
  </si>
  <si>
    <t xml:space="preserve">PT80457</t>
  </si>
  <si>
    <t xml:space="preserve">https://intranet.example.local/fa/photos/0045.jpg</t>
  </si>
  <si>
    <t xml:space="preserve">FA-2025000046</t>
  </si>
  <si>
    <r>
      <rPr>
        <sz val="8.5"/>
        <rFont val="Arial"/>
        <family val="0"/>
        <charset val="1"/>
      </rPr>
      <t xml:space="preserve">PC ⅠⅡⅢⅣⅤ28</t>
    </r>
    <r>
      <rPr>
        <sz val="8.5"/>
        <rFont val="Noto Sans CJK SC"/>
        <family val="2"/>
      </rPr>
      <t xml:space="preserve">号</t>
    </r>
  </si>
  <si>
    <t xml:space="preserve">SN-566297-B</t>
  </si>
  <si>
    <t xml:space="preserve">PT94518</t>
  </si>
  <si>
    <t xml:space="preserve">https://intranet.example.local/fa/photos/0046.jpg</t>
  </si>
  <si>
    <t xml:space="preserve">FA-2025000047</t>
  </si>
  <si>
    <r>
      <rPr>
        <sz val="8.5"/>
        <rFont val="Arial"/>
        <family val="0"/>
        <charset val="1"/>
      </rPr>
      <t xml:space="preserve">BI</t>
    </r>
    <r>
      <rPr>
        <sz val="8.5"/>
        <rFont val="Noto Sans CJK SC"/>
        <family val="2"/>
      </rPr>
      <t xml:space="preserve">ツール ⅠⅡⅢⅣⅤ</t>
    </r>
    <r>
      <rPr>
        <sz val="8.5"/>
        <rFont val="Arial"/>
        <family val="0"/>
        <charset val="1"/>
      </rPr>
      <t xml:space="preserve">98</t>
    </r>
    <r>
      <rPr>
        <sz val="8.5"/>
        <rFont val="Noto Sans CJK SC"/>
        <family val="2"/>
      </rPr>
      <t xml:space="preserve">号</t>
    </r>
  </si>
  <si>
    <t xml:space="preserve">SN-714867-B</t>
  </si>
  <si>
    <t xml:space="preserve">PT88116</t>
  </si>
  <si>
    <t xml:space="preserve">https://intranet.example.local/fa/photos/0047.jpg</t>
  </si>
  <si>
    <t xml:space="preserve">FA-2025000048</t>
  </si>
  <si>
    <t xml:space="preserve">搬送ロボ ⅠⅡⅢⅣⅤ23号</t>
  </si>
  <si>
    <t xml:space="preserve">SN-154944-B</t>
  </si>
  <si>
    <t xml:space="preserve">PT72422</t>
  </si>
  <si>
    <t xml:space="preserve">https://intranet.example.local/fa/photos/0048.jpg</t>
  </si>
  <si>
    <t xml:space="preserve">FA-2025000049</t>
  </si>
  <si>
    <r>
      <rPr>
        <sz val="8.5"/>
        <rFont val="Arial"/>
        <family val="0"/>
        <charset val="1"/>
      </rPr>
      <t xml:space="preserve">PC ⅠⅡⅢⅣⅤ92</t>
    </r>
    <r>
      <rPr>
        <sz val="8.5"/>
        <rFont val="Noto Sans CJK SC"/>
        <family val="2"/>
      </rPr>
      <t xml:space="preserve">号</t>
    </r>
  </si>
  <si>
    <t xml:space="preserve">SN-177060-A</t>
  </si>
  <si>
    <t xml:space="preserve">PT92978</t>
  </si>
  <si>
    <t xml:space="preserve">https://intranet.example.local/fa/photos/0049.jpg</t>
  </si>
  <si>
    <t xml:space="preserve">FA-2025000050</t>
  </si>
  <si>
    <t xml:space="preserve">プレス機 ⅠⅡⅢⅣⅤ58号</t>
  </si>
  <si>
    <t xml:space="preserve">SN-533914-C</t>
  </si>
  <si>
    <t xml:space="preserve">PT50966</t>
  </si>
  <si>
    <t xml:space="preserve">https://intranet.example.local/fa/photos/0050.jpg</t>
  </si>
  <si>
    <t xml:space="preserve">FA-2025000051</t>
  </si>
  <si>
    <t xml:space="preserve">事務所 ⅠⅡⅢⅣⅤ86号</t>
  </si>
  <si>
    <t xml:space="preserve">SN-530764-C</t>
  </si>
  <si>
    <t xml:space="preserve">PT88696</t>
  </si>
  <si>
    <t xml:space="preserve">https://intranet.example.local/fa/photos/0051.jpg</t>
  </si>
  <si>
    <t xml:space="preserve">FA-2025000052</t>
  </si>
  <si>
    <t xml:space="preserve">事務所 ⅠⅡⅢⅣⅤ78号</t>
  </si>
  <si>
    <t xml:space="preserve">SN-130359-B</t>
  </si>
  <si>
    <t xml:space="preserve">PT84228</t>
  </si>
  <si>
    <t xml:space="preserve">https://intranet.example.local/fa/photos/0052.jpg</t>
  </si>
  <si>
    <t xml:space="preserve">FA-2025000053</t>
  </si>
  <si>
    <t xml:space="preserve">フォークリフト ⅠⅡⅢⅣⅤ7号</t>
  </si>
  <si>
    <t xml:space="preserve">SN-265056-E</t>
  </si>
  <si>
    <t xml:space="preserve">PT73656</t>
  </si>
  <si>
    <t xml:space="preserve">https://intranet.example.local/fa/photos/0053.jpg</t>
  </si>
  <si>
    <t xml:space="preserve">FA-2025000054</t>
  </si>
  <si>
    <r>
      <rPr>
        <sz val="8.5"/>
        <rFont val="Arial"/>
        <family val="0"/>
        <charset val="1"/>
      </rPr>
      <t xml:space="preserve">ERP ⅠⅡⅢⅣⅤ39</t>
    </r>
    <r>
      <rPr>
        <sz val="8.5"/>
        <rFont val="Noto Sans CJK SC"/>
        <family val="2"/>
      </rPr>
      <t xml:space="preserve">号</t>
    </r>
  </si>
  <si>
    <t xml:space="preserve">SN-904624-B</t>
  </si>
  <si>
    <t xml:space="preserve">PT75193</t>
  </si>
  <si>
    <t xml:space="preserve">https://intranet.example.local/fa/photos/0054.jpg</t>
  </si>
  <si>
    <t xml:space="preserve">FA-2025000055</t>
  </si>
  <si>
    <r>
      <rPr>
        <sz val="8.5"/>
        <rFont val="Arial"/>
        <family val="0"/>
        <charset val="1"/>
      </rPr>
      <t xml:space="preserve">ERP ⅠⅡⅢⅣⅤ74</t>
    </r>
    <r>
      <rPr>
        <sz val="8.5"/>
        <rFont val="Noto Sans CJK SC"/>
        <family val="2"/>
      </rPr>
      <t xml:space="preserve">号</t>
    </r>
  </si>
  <si>
    <t xml:space="preserve">SN-701253-D</t>
  </si>
  <si>
    <t xml:space="preserve">PT12733</t>
  </si>
  <si>
    <t xml:space="preserve">https://intranet.example.local/fa/photos/0055.jpg</t>
  </si>
  <si>
    <t xml:space="preserve">FA-2025000056</t>
  </si>
  <si>
    <t xml:space="preserve">射出成型機 ⅠⅡⅢⅣⅤ40号</t>
  </si>
  <si>
    <t xml:space="preserve">SN-332335-C</t>
  </si>
  <si>
    <t xml:space="preserve">PT79547</t>
  </si>
  <si>
    <t xml:space="preserve">https://intranet.example.local/fa/photos/0056.jpg</t>
  </si>
  <si>
    <t xml:space="preserve">FA-2025000057</t>
  </si>
  <si>
    <t xml:space="preserve">防災設備 ⅠⅡⅢⅣⅤ23号</t>
  </si>
  <si>
    <t xml:space="preserve">SN-586490-E</t>
  </si>
  <si>
    <t xml:space="preserve">PT91857</t>
  </si>
  <si>
    <t xml:space="preserve">https://intranet.example.local/fa/photos/0057.jpg</t>
  </si>
  <si>
    <t xml:space="preserve">FA-2025000058</t>
  </si>
  <si>
    <t xml:space="preserve">射出成型機 ⅠⅡⅢⅣⅤ37号</t>
  </si>
  <si>
    <t xml:space="preserve">SN-775981-A</t>
  </si>
  <si>
    <t xml:space="preserve">PT82655</t>
  </si>
  <si>
    <t xml:space="preserve">https://intranet.example.local/fa/photos/0058.jpg</t>
  </si>
  <si>
    <t xml:space="preserve">FA-2025000059</t>
  </si>
  <si>
    <t xml:space="preserve">サーバー ⅠⅡⅢⅣⅤ32号</t>
  </si>
  <si>
    <t xml:space="preserve">SN-560767-E</t>
  </si>
  <si>
    <t xml:space="preserve">PT47079</t>
  </si>
  <si>
    <t xml:space="preserve">https://intranet.example.local/fa/photos/0059.jpg</t>
  </si>
  <si>
    <t xml:space="preserve">FA-2025000060</t>
  </si>
  <si>
    <r>
      <rPr>
        <sz val="8.5"/>
        <rFont val="Arial"/>
        <family val="0"/>
        <charset val="1"/>
      </rPr>
      <t xml:space="preserve">BI</t>
    </r>
    <r>
      <rPr>
        <sz val="8.5"/>
        <rFont val="Noto Sans CJK SC"/>
        <family val="2"/>
      </rPr>
      <t xml:space="preserve">ツール ⅠⅡⅢⅣⅤ</t>
    </r>
    <r>
      <rPr>
        <sz val="8.5"/>
        <rFont val="Arial"/>
        <family val="0"/>
        <charset val="1"/>
      </rPr>
      <t xml:space="preserve">11</t>
    </r>
    <r>
      <rPr>
        <sz val="8.5"/>
        <rFont val="Noto Sans CJK SC"/>
        <family val="2"/>
      </rPr>
      <t xml:space="preserve">号</t>
    </r>
  </si>
  <si>
    <t xml:space="preserve">SN-466813-C</t>
  </si>
  <si>
    <t xml:space="preserve">PT21104</t>
  </si>
  <si>
    <t xml:space="preserve">https://intranet.example.local/fa/photos/0060.jpg</t>
  </si>
  <si>
    <t xml:space="preserve">FA-2025000061</t>
  </si>
  <si>
    <r>
      <rPr>
        <sz val="8.5"/>
        <rFont val="Arial"/>
        <family val="0"/>
        <charset val="1"/>
      </rPr>
      <t xml:space="preserve">BI</t>
    </r>
    <r>
      <rPr>
        <sz val="8.5"/>
        <rFont val="Noto Sans CJK SC"/>
        <family val="2"/>
      </rPr>
      <t xml:space="preserve">ツール ⅠⅡⅢⅣⅤ</t>
    </r>
    <r>
      <rPr>
        <sz val="8.5"/>
        <rFont val="Arial"/>
        <family val="0"/>
        <charset val="1"/>
      </rPr>
      <t xml:space="preserve">44</t>
    </r>
    <r>
      <rPr>
        <sz val="8.5"/>
        <rFont val="Noto Sans CJK SC"/>
        <family val="2"/>
      </rPr>
      <t xml:space="preserve">号</t>
    </r>
  </si>
  <si>
    <t xml:space="preserve">SN-301332-B</t>
  </si>
  <si>
    <t xml:space="preserve">PT23256</t>
  </si>
  <si>
    <t xml:space="preserve">https://intranet.example.local/fa/photos/0061.jpg</t>
  </si>
  <si>
    <t xml:space="preserve">FA-2025000062</t>
  </si>
  <si>
    <t xml:space="preserve">防災設備 ⅠⅡⅢⅣⅤ57号</t>
  </si>
  <si>
    <t xml:space="preserve">SN-888939-F</t>
  </si>
  <si>
    <t xml:space="preserve">PT71474</t>
  </si>
  <si>
    <t xml:space="preserve">https://intranet.example.local/fa/photos/0062.jpg</t>
  </si>
  <si>
    <t xml:space="preserve">FA-2025000063</t>
  </si>
  <si>
    <t xml:space="preserve">デスク ⅠⅡⅢⅣⅤ71号</t>
  </si>
  <si>
    <t xml:space="preserve">SN-845957-E</t>
  </si>
  <si>
    <t xml:space="preserve">PT45755</t>
  </si>
  <si>
    <t xml:space="preserve">https://intranet.example.local/fa/photos/0063.jpg</t>
  </si>
  <si>
    <t xml:space="preserve">FA-2025000064</t>
  </si>
  <si>
    <t xml:space="preserve">工場棟 ⅠⅡⅢⅣⅤ4号</t>
  </si>
  <si>
    <t xml:space="preserve">SN-203896-F</t>
  </si>
  <si>
    <t xml:space="preserve">PT71925</t>
  </si>
  <si>
    <t xml:space="preserve">https://intranet.example.local/fa/photos/0064.jpg</t>
  </si>
  <si>
    <t xml:space="preserve">FA-2025000065</t>
  </si>
  <si>
    <t xml:space="preserve">事務所 ⅠⅡⅢⅣⅤ15号</t>
  </si>
  <si>
    <t xml:space="preserve">SN-349183-C</t>
  </si>
  <si>
    <t xml:space="preserve">PT69914</t>
  </si>
  <si>
    <t xml:space="preserve">https://intranet.example.local/fa/photos/0065.jpg</t>
  </si>
  <si>
    <t xml:space="preserve">FA-2025000066</t>
  </si>
  <si>
    <r>
      <rPr>
        <sz val="8.5"/>
        <rFont val="Arial"/>
        <family val="0"/>
        <charset val="1"/>
      </rPr>
      <t xml:space="preserve">BI</t>
    </r>
    <r>
      <rPr>
        <sz val="8.5"/>
        <rFont val="Noto Sans CJK SC"/>
        <family val="2"/>
      </rPr>
      <t xml:space="preserve">ツール ⅠⅡⅢⅣⅤ</t>
    </r>
    <r>
      <rPr>
        <sz val="8.5"/>
        <rFont val="Arial"/>
        <family val="0"/>
        <charset val="1"/>
      </rPr>
      <t xml:space="preserve">24</t>
    </r>
    <r>
      <rPr>
        <sz val="8.5"/>
        <rFont val="Noto Sans CJK SC"/>
        <family val="2"/>
      </rPr>
      <t xml:space="preserve">号</t>
    </r>
  </si>
  <si>
    <t xml:space="preserve">SN-648913-C</t>
  </si>
  <si>
    <t xml:space="preserve">PT76535</t>
  </si>
  <si>
    <t xml:space="preserve">https://intranet.example.local/fa/photos/0066.jpg</t>
  </si>
  <si>
    <t xml:space="preserve">FA-2025000067</t>
  </si>
  <si>
    <t xml:space="preserve">搬送ロボ ⅠⅡⅢⅣⅤ6号</t>
  </si>
  <si>
    <t xml:space="preserve">SN-672536-C</t>
  </si>
  <si>
    <t xml:space="preserve">PT72722</t>
  </si>
  <si>
    <t xml:space="preserve">https://intranet.example.local/fa/photos/0067.jpg</t>
  </si>
  <si>
    <t xml:space="preserve">FA-2025000068</t>
  </si>
  <si>
    <t xml:space="preserve">事務所 ⅠⅡⅢⅣⅤ70号</t>
  </si>
  <si>
    <t xml:space="preserve">SN-365618-A</t>
  </si>
  <si>
    <t xml:space="preserve">PT16265</t>
  </si>
  <si>
    <t xml:space="preserve">https://intranet.example.local/fa/photos/0068.jpg</t>
  </si>
  <si>
    <t xml:space="preserve">FA-2025000069</t>
  </si>
  <si>
    <t xml:space="preserve">検査装置 ⅠⅡⅢⅣⅤ56号</t>
  </si>
  <si>
    <t xml:space="preserve">SN-671971-C</t>
  </si>
  <si>
    <t xml:space="preserve">PT88986</t>
  </si>
  <si>
    <t xml:space="preserve">https://intranet.example.local/fa/photos/0069.jpg</t>
  </si>
  <si>
    <t xml:space="preserve">FA-2025000070</t>
  </si>
  <si>
    <t xml:space="preserve">プレス機 ⅠⅡⅢⅣⅤ5号</t>
  </si>
  <si>
    <t xml:space="preserve">SN-170499-B</t>
  </si>
  <si>
    <t xml:space="preserve">PT84349</t>
  </si>
  <si>
    <t xml:space="preserve">https://intranet.example.local/fa/photos/0070.jpg</t>
  </si>
  <si>
    <t xml:space="preserve">FA-2025000071</t>
  </si>
  <si>
    <r>
      <rPr>
        <sz val="8.5"/>
        <rFont val="Arial"/>
        <family val="0"/>
        <charset val="1"/>
      </rPr>
      <t xml:space="preserve">PC ⅠⅡⅢⅣⅤ95</t>
    </r>
    <r>
      <rPr>
        <sz val="8.5"/>
        <rFont val="Noto Sans CJK SC"/>
        <family val="2"/>
      </rPr>
      <t xml:space="preserve">号</t>
    </r>
  </si>
  <si>
    <t xml:space="preserve">SN-623285-E</t>
  </si>
  <si>
    <t xml:space="preserve">PT68493</t>
  </si>
  <si>
    <t xml:space="preserve">https://intranet.example.local/fa/photos/0071.jpg</t>
  </si>
  <si>
    <t xml:space="preserve">FA-2025000072</t>
  </si>
  <si>
    <t xml:space="preserve">勤怠システム ⅠⅡⅢⅣⅤ21号</t>
  </si>
  <si>
    <t xml:space="preserve">SN-932250-C</t>
  </si>
  <si>
    <t xml:space="preserve">PT41029</t>
  </si>
  <si>
    <t xml:space="preserve">https://intranet.example.local/fa/photos/0072.jpg</t>
  </si>
  <si>
    <t xml:space="preserve">FA-2025000073</t>
  </si>
  <si>
    <t xml:space="preserve">防災設備 ⅠⅡⅢⅣⅤ17号</t>
  </si>
  <si>
    <t xml:space="preserve">SN-773540-A</t>
  </si>
  <si>
    <t xml:space="preserve">PT82260</t>
  </si>
  <si>
    <t xml:space="preserve">https://intranet.example.local/fa/photos/0073.jpg</t>
  </si>
  <si>
    <t xml:space="preserve">FA-2025000074</t>
  </si>
  <si>
    <t xml:space="preserve">工場棟 ⅠⅡⅢⅣⅤ33号</t>
  </si>
  <si>
    <t xml:space="preserve">SN-765905-E</t>
  </si>
  <si>
    <t xml:space="preserve">PT75873</t>
  </si>
  <si>
    <t xml:space="preserve">https://intranet.example.local/fa/photos/0074.jpg</t>
  </si>
  <si>
    <t xml:space="preserve">FA-2025000075</t>
  </si>
  <si>
    <t xml:space="preserve">計測器 ⅠⅡⅢⅣⅤ84号</t>
  </si>
  <si>
    <t xml:space="preserve">SN-904214-E</t>
  </si>
  <si>
    <t xml:space="preserve">PT81509</t>
  </si>
  <si>
    <t xml:space="preserve">https://intranet.example.local/fa/photos/0075.jpg</t>
  </si>
  <si>
    <t xml:space="preserve">FA-2025000076</t>
  </si>
  <si>
    <t xml:space="preserve">配送トラック ⅠⅡⅢⅣⅤ27号</t>
  </si>
  <si>
    <t xml:space="preserve">SN-736129-B</t>
  </si>
  <si>
    <t xml:space="preserve">PT27139</t>
  </si>
  <si>
    <t xml:space="preserve">https://intranet.example.local/fa/photos/0076.jpg</t>
  </si>
  <si>
    <t xml:space="preserve">FA-2025000077</t>
  </si>
  <si>
    <t xml:space="preserve">営業車 ⅠⅡⅢⅣⅤ42号</t>
  </si>
  <si>
    <t xml:space="preserve">SN-299055-B</t>
  </si>
  <si>
    <t xml:space="preserve">PT75191</t>
  </si>
  <si>
    <t xml:space="preserve">https://intranet.example.local/fa/photos/0077.jpg</t>
  </si>
  <si>
    <t xml:space="preserve">FA-2025000078</t>
  </si>
  <si>
    <t xml:space="preserve">防災設備 ⅠⅡⅢⅣⅤ37号</t>
  </si>
  <si>
    <t xml:space="preserve">SN-988324-A</t>
  </si>
  <si>
    <t xml:space="preserve">PT62505</t>
  </si>
  <si>
    <t xml:space="preserve">https://intranet.example.local/fa/photos/0078.jpg</t>
  </si>
  <si>
    <t xml:space="preserve">FA-2025000079</t>
  </si>
  <si>
    <t xml:space="preserve">プレス機 ⅠⅡⅢⅣⅤ78号</t>
  </si>
  <si>
    <t xml:space="preserve">SN-624369-A</t>
  </si>
  <si>
    <t xml:space="preserve">PT29521</t>
  </si>
  <si>
    <t xml:space="preserve">https://intranet.example.local/fa/photos/0079.jpg</t>
  </si>
  <si>
    <t xml:space="preserve">FA-2025000080</t>
  </si>
  <si>
    <t xml:space="preserve">勤怠システム ⅠⅡⅢⅣⅤ3号</t>
  </si>
  <si>
    <t xml:space="preserve">SN-447329-F</t>
  </si>
  <si>
    <t xml:space="preserve">PT92478</t>
  </si>
  <si>
    <t xml:space="preserve">https://intranet.example.local/fa/photos/0080.jpg</t>
  </si>
  <si>
    <t xml:space="preserve">集計 (80 件)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</si>
</sst>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#,##0;\(#,##0\);\-"/>
    <numFmt numFmtId="167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Noto Sans CJK SC"/>
      <family val="2"/>
      <charset val="1"/>
    </font>
    <font>
      <b val="true"/>
      <sz val="10"/>
      <color rgb="FFFFFFFF"/>
      <name val="Noto Sans CJK SC"/>
      <family val="2"/>
      <charset val="1"/>
    </font>
    <font>
      <b val="true"/>
      <sz val="9"/>
      <color rgb="FFFFFFFF"/>
      <name val="Noto Sans CJK SC"/>
      <family val="2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FFFFFF"/>
      <name val="Noto Sans CJK SC"/>
      <family val="2"/>
    </font>
    <font>
      <sz val="8.5"/>
      <name val="Arial"/>
      <family val="0"/>
      <charset val="1"/>
    </font>
    <font>
      <sz val="8.5"/>
      <name val="Noto Sans CJK SC"/>
      <family val="2"/>
    </font>
    <font>
      <sz val="8.5"/>
      <name val="Noto Sans CJK SC"/>
      <family val="2"/>
      <charset val="1"/>
    </font>
    <font>
      <sz val="8.5"/>
      <color rgb="FF000000"/>
      <name val="Arial"/>
      <family val="0"/>
      <charset val="1"/>
    </font>
    <font>
      <b val="true"/>
      <sz val="8.5"/>
      <color rgb="FF000000"/>
      <name val="Arial"/>
      <family val="0"/>
      <charset val="1"/>
    </font>
    <font>
      <b val="true"/>
      <sz val="10"/>
      <name val="Noto Sans CJK SC"/>
      <family val="2"/>
      <charset val="1"/>
    </font>
    <font>
      <b val="true"/>
      <sz val="10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FCE4E4"/>
      </patternFill>
    </fill>
    <fill>
      <patternFill patternType="solid">
        <fgColor rgb="FF9DC3E6"/>
        <bgColor rgb="FFB4C7E7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333333"/>
      </left>
      <right/>
      <top style="medium">
        <color rgb="FF333333"/>
      </top>
      <bottom style="medium">
        <color rgb="FF333333"/>
      </bottom>
      <diagonal/>
    </border>
    <border diagonalUp="false" diagonalDown="false">
      <left style="medium">
        <color rgb="FF333333"/>
      </left>
      <right style="medium">
        <color rgb="FF333333"/>
      </right>
      <top style="medium">
        <color rgb="FF333333"/>
      </top>
      <bottom style="medium">
        <color rgb="FF333333"/>
      </bottom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 diagonalUp="false" diagonalDown="false">
      <left style="thin">
        <color rgb="FFA6A6A6"/>
      </left>
      <right style="thin">
        <color rgb="FFA6A6A6"/>
      </right>
      <top style="medium">
        <color rgb="FF333333"/>
      </top>
      <bottom style="medium">
        <color rgb="FF33333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4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2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2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5" fillId="5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2E75B6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CE4E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B4C7E7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  <dxf>
      <fill>
        <patternFill>
          <bgColor rgb="FFB4C7E7"/>
        </patternFill>
      </fill>
    </dxf>
    <dxf>
      <fill>
        <patternFill>
          <bgColor rgb="FFFCE4E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FCE4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DC3E6"/>
      <rgbColor rgb="FFFF99CC"/>
      <rgbColor rgb="FFCC99FF"/>
      <rgbColor rgb="FFF8CBAD"/>
      <rgbColor rgb="FF2E75B6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I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2"/>
    <col collapsed="false" customWidth="true" hidden="false" outlineLevel="0" max="3" min="3" style="1" width="14"/>
    <col collapsed="false" customWidth="true" hidden="false" outlineLevel="0" max="4" min="4" style="1" width="11"/>
    <col collapsed="false" customWidth="true" hidden="false" outlineLevel="0" max="5" min="5" style="1" width="16"/>
    <col collapsed="false" customWidth="true" hidden="false" outlineLevel="0" max="6" min="6" style="1" width="14"/>
    <col collapsed="false" customWidth="true" hidden="false" outlineLevel="0" max="8" min="7" style="1" width="12"/>
    <col collapsed="false" customWidth="true" hidden="false" outlineLevel="0" max="9" min="9" style="1" width="14"/>
    <col collapsed="false" customWidth="true" hidden="false" outlineLevel="0" max="10" min="10" style="1" width="9"/>
    <col collapsed="false" customWidth="true" hidden="false" outlineLevel="0" max="11" min="11" style="1" width="10"/>
    <col collapsed="false" customWidth="true" hidden="false" outlineLevel="0" max="12" min="12" style="1" width="9"/>
    <col collapsed="false" customWidth="true" hidden="false" outlineLevel="0" max="13" min="13" style="1" width="13"/>
    <col collapsed="false" customWidth="true" hidden="false" outlineLevel="0" max="14" min="14" style="1" width="14"/>
    <col collapsed="false" customWidth="true" hidden="false" outlineLevel="0" max="15" min="15" style="1" width="18"/>
    <col collapsed="false" customWidth="true" hidden="false" outlineLevel="0" max="27" min="16" style="1" width="11"/>
    <col collapsed="false" customWidth="true" hidden="false" outlineLevel="0" max="28" min="28" style="1" width="13"/>
    <col collapsed="false" customWidth="true" hidden="false" outlineLevel="0" max="29" min="29" style="1" width="16"/>
    <col collapsed="false" customWidth="true" hidden="false" outlineLevel="0" max="30" min="30" style="1" width="13"/>
    <col collapsed="false" customWidth="true" hidden="false" outlineLevel="0" max="31" min="31" style="1" width="18"/>
    <col collapsed="false" customWidth="true" hidden="false" outlineLevel="0" max="32" min="32" style="1" width="14"/>
    <col collapsed="false" customWidth="true" hidden="false" outlineLevel="0" max="33" min="33" style="1" width="10"/>
    <col collapsed="false" customWidth="true" hidden="false" outlineLevel="0" max="34" min="34" style="1" width="12"/>
    <col collapsed="false" customWidth="true" hidden="false" outlineLevel="0" max="35" min="35" style="1" width="14"/>
    <col collapsed="false" customWidth="true" hidden="false" outlineLevel="0" max="36" min="36" style="1" width="18"/>
    <col collapsed="false" customWidth="true" hidden="false" outlineLevel="0" max="37" min="37" style="1" width="11"/>
    <col collapsed="false" customWidth="true" hidden="false" outlineLevel="0" max="38" min="38" style="1" width="9"/>
    <col collapsed="false" customWidth="true" hidden="false" outlineLevel="0" max="39" min="39" style="1" width="18"/>
    <col collapsed="false" customWidth="true" hidden="false" outlineLevel="0" max="41" min="40" style="1" width="12"/>
    <col collapsed="false" customWidth="true" hidden="false" outlineLevel="0" max="42" min="42" style="1" width="13"/>
    <col collapsed="false" customWidth="true" hidden="false" outlineLevel="0" max="43" min="43" style="1" width="9"/>
    <col collapsed="false" customWidth="true" hidden="false" outlineLevel="0" max="45" min="44" style="1" width="16"/>
    <col collapsed="false" customWidth="true" hidden="false" outlineLevel="0" max="46" min="46" style="1" width="14"/>
    <col collapsed="false" customWidth="true" hidden="false" outlineLevel="0" max="47" min="47" style="1" width="12"/>
    <col collapsed="false" customWidth="true" hidden="false" outlineLevel="0" max="48" min="48" style="1" width="26"/>
    <col collapsed="false" customWidth="true" hidden="false" outlineLevel="0" max="49" min="49" style="1" width="9"/>
    <col collapsed="false" customWidth="true" hidden="false" outlineLevel="0" max="50" min="50" style="1" width="10"/>
    <col collapsed="false" customWidth="true" hidden="false" outlineLevel="0" max="51" min="51" style="1" width="11"/>
    <col collapsed="false" customWidth="true" hidden="false" outlineLevel="0" max="52" min="52" style="1" width="13"/>
    <col collapsed="false" customWidth="true" hidden="false" outlineLevel="0" max="53" min="53" style="1" width="28"/>
    <col collapsed="false" customWidth="true" hidden="false" outlineLevel="0" max="54" min="54" style="1" width="8"/>
    <col collapsed="false" customWidth="true" hidden="false" outlineLevel="0" max="56" min="55" style="1" width="12"/>
    <col collapsed="false" customWidth="true" hidden="false" outlineLevel="0" max="57" min="57" style="1" width="15"/>
    <col collapsed="false" customWidth="true" hidden="false" outlineLevel="0" max="58" min="58" style="1" width="11"/>
    <col collapsed="false" customWidth="true" hidden="false" outlineLevel="0" max="59" min="59" style="1" width="13"/>
    <col collapsed="false" customWidth="true" hidden="false" outlineLevel="0" max="60" min="60" style="1" width="14"/>
    <col collapsed="false" customWidth="true" hidden="false" outlineLevel="0" max="61" min="61" style="1" width="32"/>
  </cols>
  <sheetData>
    <row r="1" customFormat="false" ht="21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 t="s">
        <v>2</v>
      </c>
      <c r="H2" s="3"/>
      <c r="I2" s="3"/>
      <c r="J2" s="3"/>
      <c r="K2" s="3"/>
      <c r="L2" s="3"/>
      <c r="M2" s="3"/>
      <c r="N2" s="3" t="s">
        <v>3</v>
      </c>
      <c r="O2" s="3"/>
      <c r="P2" s="3" t="s">
        <v>4</v>
      </c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 t="s">
        <v>5</v>
      </c>
      <c r="AC2" s="3"/>
      <c r="AD2" s="3"/>
      <c r="AE2" s="3" t="s">
        <v>6</v>
      </c>
      <c r="AF2" s="3"/>
      <c r="AG2" s="3"/>
      <c r="AH2" s="3"/>
      <c r="AI2" s="3"/>
      <c r="AJ2" s="3" t="s">
        <v>7</v>
      </c>
      <c r="AK2" s="3"/>
      <c r="AL2" s="3"/>
      <c r="AM2" s="3"/>
      <c r="AN2" s="3"/>
      <c r="AO2" s="3"/>
      <c r="AP2" s="3"/>
      <c r="AQ2" s="3" t="s">
        <v>8</v>
      </c>
      <c r="AR2" s="3"/>
      <c r="AS2" s="3"/>
      <c r="AT2" s="3"/>
      <c r="AU2" s="3" t="s">
        <v>9</v>
      </c>
      <c r="AV2" s="3"/>
      <c r="AW2" s="3"/>
      <c r="AX2" s="3"/>
      <c r="AY2" s="3"/>
      <c r="AZ2" s="3"/>
      <c r="BA2" s="3"/>
      <c r="BB2" s="3" t="s">
        <v>10</v>
      </c>
      <c r="BC2" s="3"/>
      <c r="BD2" s="3"/>
      <c r="BE2" s="3"/>
      <c r="BF2" s="3"/>
      <c r="BG2" s="3"/>
      <c r="BH2" s="3"/>
      <c r="BI2" s="4" t="s">
        <v>11</v>
      </c>
    </row>
    <row r="3" customFormat="false" ht="31.5" hidden="false" customHeight="true" outlineLevel="0" collapsed="false">
      <c r="A3" s="5" t="s">
        <v>12</v>
      </c>
      <c r="B3" s="5" t="s">
        <v>13</v>
      </c>
      <c r="C3" s="5" t="s">
        <v>14</v>
      </c>
      <c r="D3" s="5" t="s">
        <v>15</v>
      </c>
      <c r="E3" s="5" t="s">
        <v>16</v>
      </c>
      <c r="F3" s="5" t="s">
        <v>17</v>
      </c>
      <c r="G3" s="5" t="s">
        <v>18</v>
      </c>
      <c r="H3" s="5" t="s">
        <v>19</v>
      </c>
      <c r="I3" s="5" t="s">
        <v>20</v>
      </c>
      <c r="J3" s="5" t="s">
        <v>21</v>
      </c>
      <c r="K3" s="5" t="s">
        <v>22</v>
      </c>
      <c r="L3" s="5" t="s">
        <v>23</v>
      </c>
      <c r="M3" s="5" t="s">
        <v>24</v>
      </c>
      <c r="N3" s="5" t="s">
        <v>25</v>
      </c>
      <c r="O3" s="5" t="s">
        <v>26</v>
      </c>
      <c r="P3" s="6" t="s">
        <v>27</v>
      </c>
      <c r="Q3" s="6" t="s">
        <v>28</v>
      </c>
      <c r="R3" s="6" t="s">
        <v>29</v>
      </c>
      <c r="S3" s="6" t="s">
        <v>30</v>
      </c>
      <c r="T3" s="6" t="s">
        <v>31</v>
      </c>
      <c r="U3" s="6" t="s">
        <v>32</v>
      </c>
      <c r="V3" s="6" t="s">
        <v>33</v>
      </c>
      <c r="W3" s="6" t="s">
        <v>34</v>
      </c>
      <c r="X3" s="6" t="s">
        <v>35</v>
      </c>
      <c r="Y3" s="6" t="s">
        <v>36</v>
      </c>
      <c r="Z3" s="6" t="s">
        <v>37</v>
      </c>
      <c r="AA3" s="6" t="s">
        <v>38</v>
      </c>
      <c r="AB3" s="5" t="s">
        <v>39</v>
      </c>
      <c r="AC3" s="5" t="s">
        <v>40</v>
      </c>
      <c r="AD3" s="5" t="s">
        <v>41</v>
      </c>
      <c r="AE3" s="5" t="s">
        <v>42</v>
      </c>
      <c r="AF3" s="5" t="s">
        <v>43</v>
      </c>
      <c r="AG3" s="5" t="s">
        <v>44</v>
      </c>
      <c r="AH3" s="5" t="s">
        <v>45</v>
      </c>
      <c r="AI3" s="5" t="s">
        <v>46</v>
      </c>
      <c r="AJ3" s="5" t="s">
        <v>47</v>
      </c>
      <c r="AK3" s="5" t="s">
        <v>48</v>
      </c>
      <c r="AL3" s="5" t="s">
        <v>49</v>
      </c>
      <c r="AM3" s="5" t="s">
        <v>50</v>
      </c>
      <c r="AN3" s="5" t="s">
        <v>51</v>
      </c>
      <c r="AO3" s="5" t="s">
        <v>52</v>
      </c>
      <c r="AP3" s="5" t="s">
        <v>53</v>
      </c>
      <c r="AQ3" s="5" t="s">
        <v>54</v>
      </c>
      <c r="AR3" s="5" t="s">
        <v>55</v>
      </c>
      <c r="AS3" s="5" t="s">
        <v>56</v>
      </c>
      <c r="AT3" s="5" t="s">
        <v>57</v>
      </c>
      <c r="AU3" s="5" t="s">
        <v>58</v>
      </c>
      <c r="AV3" s="5" t="s">
        <v>59</v>
      </c>
      <c r="AW3" s="6" t="s">
        <v>60</v>
      </c>
      <c r="AX3" s="5" t="s">
        <v>61</v>
      </c>
      <c r="AY3" s="5" t="s">
        <v>62</v>
      </c>
      <c r="AZ3" s="5" t="s">
        <v>63</v>
      </c>
      <c r="BA3" s="5" t="s">
        <v>64</v>
      </c>
      <c r="BB3" s="5" t="s">
        <v>65</v>
      </c>
      <c r="BC3" s="5" t="s">
        <v>66</v>
      </c>
      <c r="BD3" s="5" t="s">
        <v>67</v>
      </c>
      <c r="BE3" s="5" t="s">
        <v>68</v>
      </c>
      <c r="BF3" s="5" t="s">
        <v>69</v>
      </c>
      <c r="BG3" s="5" t="s">
        <v>70</v>
      </c>
      <c r="BH3" s="5" t="s">
        <v>71</v>
      </c>
      <c r="BI3" s="5" t="s">
        <v>72</v>
      </c>
    </row>
    <row r="4" customFormat="false" ht="15" hidden="false" customHeight="true" outlineLevel="0" collapsed="false">
      <c r="A4" s="7" t="s">
        <v>73</v>
      </c>
      <c r="B4" s="7" t="s">
        <v>74</v>
      </c>
      <c r="C4" s="8" t="s">
        <v>75</v>
      </c>
      <c r="D4" s="9" t="s">
        <v>76</v>
      </c>
      <c r="E4" s="10" t="s">
        <v>75</v>
      </c>
      <c r="F4" s="8" t="s">
        <v>77</v>
      </c>
      <c r="G4" s="11" t="n">
        <v>44317</v>
      </c>
      <c r="H4" s="11" t="n">
        <v>44339</v>
      </c>
      <c r="I4" s="12" t="n">
        <v>2328</v>
      </c>
      <c r="J4" s="9" t="n">
        <v>5</v>
      </c>
      <c r="K4" s="8" t="s">
        <v>78</v>
      </c>
      <c r="L4" s="13" t="n">
        <v>0.2</v>
      </c>
      <c r="M4" s="12" t="n">
        <v>1</v>
      </c>
      <c r="N4" s="12" t="n">
        <v>533</v>
      </c>
      <c r="O4" s="12" t="n">
        <v>1795</v>
      </c>
      <c r="P4" s="14" t="n">
        <f aca="false">IF(K4="定額",ROUND((I4-M4)/J4/12,0),ROUND(I4*L4/12,0))</f>
        <v>39</v>
      </c>
      <c r="Q4" s="14" t="n">
        <f aca="false">IF(K4="定額",ROUND((I4-M4)/J4/12,0),ROUND(I4*L4/12,0))</f>
        <v>39</v>
      </c>
      <c r="R4" s="14" t="n">
        <f aca="false">IF(K4="定額",ROUND((I4-M4)/J4/12,0),ROUND(I4*L4/12,0))</f>
        <v>39</v>
      </c>
      <c r="S4" s="14" t="n">
        <f aca="false">IF(K4="定額",ROUND((I4-M4)/J4/12,0),ROUND(I4*L4/12,0))</f>
        <v>39</v>
      </c>
      <c r="T4" s="14" t="n">
        <f aca="false">IF(K4="定額",ROUND((I4-M4)/J4/12,0),ROUND(I4*L4/12,0))</f>
        <v>39</v>
      </c>
      <c r="U4" s="14" t="n">
        <f aca="false">IF(K4="定額",ROUND((I4-M4)/J4/12,0),ROUND(I4*L4/12,0))</f>
        <v>39</v>
      </c>
      <c r="V4" s="14" t="n">
        <f aca="false">IF(K4="定額",ROUND((I4-M4)/J4/12,0),ROUND(I4*L4/12,0))</f>
        <v>39</v>
      </c>
      <c r="W4" s="14" t="n">
        <f aca="false">IF(K4="定額",ROUND((I4-M4)/J4/12,0),ROUND(I4*L4/12,0))</f>
        <v>39</v>
      </c>
      <c r="X4" s="14" t="n">
        <f aca="false">IF(K4="定額",ROUND((I4-M4)/J4/12,0),ROUND(I4*L4/12,0))</f>
        <v>39</v>
      </c>
      <c r="Y4" s="14" t="n">
        <f aca="false">IF(K4="定額",ROUND((I4-M4)/J4/12,0),ROUND(I4*L4/12,0))</f>
        <v>39</v>
      </c>
      <c r="Z4" s="14" t="n">
        <f aca="false">IF(K4="定額",ROUND((I4-M4)/J4/12,0),ROUND(I4*L4/12,0))</f>
        <v>39</v>
      </c>
      <c r="AA4" s="14" t="n">
        <f aca="false">IF(K4="定額",ROUND((I4-M4)/J4/12,0),ROUND(I4*L4/12,0))</f>
        <v>39</v>
      </c>
      <c r="AB4" s="15" t="n">
        <f aca="false">SUM(P4:AA4)</f>
        <v>468</v>
      </c>
      <c r="AC4" s="15" t="n">
        <f aca="false">O4+AB4</f>
        <v>2263</v>
      </c>
      <c r="AD4" s="15" t="n">
        <f aca="false">I4-AC4</f>
        <v>65</v>
      </c>
      <c r="AE4" s="10" t="s">
        <v>79</v>
      </c>
      <c r="AF4" s="10" t="s">
        <v>80</v>
      </c>
      <c r="AG4" s="9" t="s">
        <v>81</v>
      </c>
      <c r="AH4" s="10" t="s">
        <v>82</v>
      </c>
      <c r="AI4" s="7" t="s">
        <v>83</v>
      </c>
      <c r="AJ4" s="7" t="s">
        <v>84</v>
      </c>
      <c r="AK4" s="7" t="s">
        <v>85</v>
      </c>
      <c r="AL4" s="8" t="s">
        <v>86</v>
      </c>
      <c r="AM4" s="7" t="s">
        <v>84</v>
      </c>
      <c r="AN4" s="11" t="n">
        <v>46507</v>
      </c>
      <c r="AO4" s="11" t="n">
        <v>45894</v>
      </c>
      <c r="AP4" s="11" t="n">
        <v>46218</v>
      </c>
      <c r="AQ4" s="8" t="s">
        <v>87</v>
      </c>
      <c r="AR4" s="12"/>
      <c r="AS4" s="12"/>
      <c r="AT4" s="12"/>
      <c r="AU4" s="7" t="s">
        <v>88</v>
      </c>
      <c r="AV4" s="7" t="s">
        <v>89</v>
      </c>
      <c r="AW4" s="9" t="s">
        <v>90</v>
      </c>
      <c r="AX4" s="8" t="s">
        <v>91</v>
      </c>
      <c r="AY4" s="8" t="s">
        <v>92</v>
      </c>
      <c r="AZ4" s="11" t="n">
        <v>45919</v>
      </c>
      <c r="BA4" s="10" t="s">
        <v>93</v>
      </c>
      <c r="BB4" s="8" t="s">
        <v>87</v>
      </c>
      <c r="BC4" s="11"/>
      <c r="BD4" s="11"/>
      <c r="BE4" s="12"/>
      <c r="BF4" s="11"/>
      <c r="BG4" s="12"/>
      <c r="BH4" s="12"/>
      <c r="BI4" s="7" t="s">
        <v>90</v>
      </c>
    </row>
    <row r="5" customFormat="false" ht="15" hidden="false" customHeight="true" outlineLevel="0" collapsed="false">
      <c r="A5" s="16" t="s">
        <v>94</v>
      </c>
      <c r="B5" s="17" t="s">
        <v>95</v>
      </c>
      <c r="C5" s="18" t="s">
        <v>96</v>
      </c>
      <c r="D5" s="19" t="s">
        <v>97</v>
      </c>
      <c r="E5" s="17" t="s">
        <v>96</v>
      </c>
      <c r="F5" s="18" t="s">
        <v>98</v>
      </c>
      <c r="G5" s="20" t="n">
        <v>44329</v>
      </c>
      <c r="H5" s="20" t="n">
        <v>44345</v>
      </c>
      <c r="I5" s="21" t="n">
        <v>2263</v>
      </c>
      <c r="J5" s="19" t="n">
        <v>15</v>
      </c>
      <c r="K5" s="18" t="s">
        <v>78</v>
      </c>
      <c r="L5" s="22" t="n">
        <v>0.067</v>
      </c>
      <c r="M5" s="21" t="n">
        <v>1</v>
      </c>
      <c r="N5" s="21" t="n">
        <v>1684</v>
      </c>
      <c r="O5" s="21" t="n">
        <v>579</v>
      </c>
      <c r="P5" s="23" t="n">
        <f aca="false">IF(K5="定額",ROUND((I5-M5)/J5/12,0),ROUND(I5*L5/12,0))</f>
        <v>13</v>
      </c>
      <c r="Q5" s="23" t="n">
        <f aca="false">IF(K5="定額",ROUND((I5-M5)/J5/12,0),ROUND(I5*L5/12,0))</f>
        <v>13</v>
      </c>
      <c r="R5" s="23" t="n">
        <f aca="false">IF(K5="定額",ROUND((I5-M5)/J5/12,0),ROUND(I5*L5/12,0))</f>
        <v>13</v>
      </c>
      <c r="S5" s="23" t="n">
        <f aca="false">IF(K5="定額",ROUND((I5-M5)/J5/12,0),ROUND(I5*L5/12,0))</f>
        <v>13</v>
      </c>
      <c r="T5" s="23" t="n">
        <f aca="false">IF(K5="定額",ROUND((I5-M5)/J5/12,0),ROUND(I5*L5/12,0))</f>
        <v>13</v>
      </c>
      <c r="U5" s="23" t="n">
        <f aca="false">IF(K5="定額",ROUND((I5-M5)/J5/12,0),ROUND(I5*L5/12,0))</f>
        <v>13</v>
      </c>
      <c r="V5" s="23" t="n">
        <f aca="false">IF(K5="定額",ROUND((I5-M5)/J5/12,0),ROUND(I5*L5/12,0))</f>
        <v>13</v>
      </c>
      <c r="W5" s="23" t="n">
        <f aca="false">IF(K5="定額",ROUND((I5-M5)/J5/12,0),ROUND(I5*L5/12,0))</f>
        <v>13</v>
      </c>
      <c r="X5" s="23" t="n">
        <f aca="false">IF(K5="定額",ROUND((I5-M5)/J5/12,0),ROUND(I5*L5/12,0))</f>
        <v>13</v>
      </c>
      <c r="Y5" s="23" t="n">
        <f aca="false">IF(K5="定額",ROUND((I5-M5)/J5/12,0),ROUND(I5*L5/12,0))</f>
        <v>13</v>
      </c>
      <c r="Z5" s="23" t="n">
        <f aca="false">IF(K5="定額",ROUND((I5-M5)/J5/12,0),ROUND(I5*L5/12,0))</f>
        <v>13</v>
      </c>
      <c r="AA5" s="23" t="n">
        <f aca="false">IF(K5="定額",ROUND((I5-M5)/J5/12,0),ROUND(I5*L5/12,0))</f>
        <v>13</v>
      </c>
      <c r="AB5" s="24" t="n">
        <f aca="false">SUM(P5:AA5)</f>
        <v>156</v>
      </c>
      <c r="AC5" s="24" t="n">
        <f aca="false">O5+AB5</f>
        <v>735</v>
      </c>
      <c r="AD5" s="24" t="n">
        <f aca="false">I5-AC5</f>
        <v>1528</v>
      </c>
      <c r="AE5" s="17" t="s">
        <v>99</v>
      </c>
      <c r="AF5" s="17" t="s">
        <v>100</v>
      </c>
      <c r="AG5" s="19" t="s">
        <v>101</v>
      </c>
      <c r="AH5" s="16" t="s">
        <v>102</v>
      </c>
      <c r="AI5" s="16" t="s">
        <v>103</v>
      </c>
      <c r="AJ5" s="16" t="s">
        <v>104</v>
      </c>
      <c r="AK5" s="16" t="s">
        <v>105</v>
      </c>
      <c r="AL5" s="18" t="s">
        <v>87</v>
      </c>
      <c r="AM5" s="16" t="s">
        <v>90</v>
      </c>
      <c r="AN5" s="20"/>
      <c r="AO5" s="20" t="n">
        <v>45783</v>
      </c>
      <c r="AP5" s="20" t="n">
        <v>46205</v>
      </c>
      <c r="AQ5" s="18" t="s">
        <v>87</v>
      </c>
      <c r="AR5" s="21"/>
      <c r="AS5" s="21"/>
      <c r="AT5" s="21"/>
      <c r="AU5" s="16" t="s">
        <v>106</v>
      </c>
      <c r="AV5" s="16" t="s">
        <v>107</v>
      </c>
      <c r="AW5" s="19" t="s">
        <v>90</v>
      </c>
      <c r="AX5" s="18" t="s">
        <v>108</v>
      </c>
      <c r="AY5" s="18" t="s">
        <v>92</v>
      </c>
      <c r="AZ5" s="20" t="n">
        <v>45950</v>
      </c>
      <c r="BA5" s="17" t="s">
        <v>109</v>
      </c>
      <c r="BB5" s="18" t="s">
        <v>87</v>
      </c>
      <c r="BC5" s="20"/>
      <c r="BD5" s="20"/>
      <c r="BE5" s="21"/>
      <c r="BF5" s="20"/>
      <c r="BG5" s="21"/>
      <c r="BH5" s="21"/>
      <c r="BI5" s="17" t="s">
        <v>110</v>
      </c>
    </row>
    <row r="6" customFormat="false" ht="15" hidden="false" customHeight="true" outlineLevel="0" collapsed="false">
      <c r="A6" s="7" t="s">
        <v>111</v>
      </c>
      <c r="B6" s="7" t="s">
        <v>112</v>
      </c>
      <c r="C6" s="8" t="s">
        <v>75</v>
      </c>
      <c r="D6" s="9" t="s">
        <v>76</v>
      </c>
      <c r="E6" s="10" t="s">
        <v>75</v>
      </c>
      <c r="F6" s="9" t="s">
        <v>90</v>
      </c>
      <c r="G6" s="11" t="n">
        <v>44124</v>
      </c>
      <c r="H6" s="11" t="n">
        <v>44180</v>
      </c>
      <c r="I6" s="12" t="n">
        <v>2870</v>
      </c>
      <c r="J6" s="9" t="n">
        <v>5</v>
      </c>
      <c r="K6" s="8" t="s">
        <v>78</v>
      </c>
      <c r="L6" s="13" t="n">
        <v>0.2</v>
      </c>
      <c r="M6" s="12" t="n">
        <v>1</v>
      </c>
      <c r="N6" s="12" t="n">
        <v>407</v>
      </c>
      <c r="O6" s="12" t="n">
        <v>2463</v>
      </c>
      <c r="P6" s="14" t="n">
        <f aca="false">IF(K6="定額",ROUND((I6-M6)/J6/12,0),ROUND(I6*L6/12,0))</f>
        <v>48</v>
      </c>
      <c r="Q6" s="14" t="n">
        <f aca="false">IF(K6="定額",ROUND((I6-M6)/J6/12,0),ROUND(I6*L6/12,0))</f>
        <v>48</v>
      </c>
      <c r="R6" s="14" t="n">
        <f aca="false">IF(K6="定額",ROUND((I6-M6)/J6/12,0),ROUND(I6*L6/12,0))</f>
        <v>48</v>
      </c>
      <c r="S6" s="14" t="n">
        <f aca="false">IF(K6="定額",ROUND((I6-M6)/J6/12,0),ROUND(I6*L6/12,0))</f>
        <v>48</v>
      </c>
      <c r="T6" s="14" t="n">
        <f aca="false">IF(K6="定額",ROUND((I6-M6)/J6/12,0),ROUND(I6*L6/12,0))</f>
        <v>48</v>
      </c>
      <c r="U6" s="14" t="n">
        <f aca="false">IF(K6="定額",ROUND((I6-M6)/J6/12,0),ROUND(I6*L6/12,0))</f>
        <v>48</v>
      </c>
      <c r="V6" s="14" t="n">
        <f aca="false">IF(K6="定額",ROUND((I6-M6)/J6/12,0),ROUND(I6*L6/12,0))</f>
        <v>48</v>
      </c>
      <c r="W6" s="14" t="n">
        <f aca="false">IF(K6="定額",ROUND((I6-M6)/J6/12,0),ROUND(I6*L6/12,0))</f>
        <v>48</v>
      </c>
      <c r="X6" s="14" t="n">
        <f aca="false">IF(K6="定額",ROUND((I6-M6)/J6/12,0),ROUND(I6*L6/12,0))</f>
        <v>48</v>
      </c>
      <c r="Y6" s="14" t="n">
        <f aca="false">IF(K6="定額",ROUND((I6-M6)/J6/12,0),ROUND(I6*L6/12,0))</f>
        <v>48</v>
      </c>
      <c r="Z6" s="14" t="n">
        <f aca="false">IF(K6="定額",ROUND((I6-M6)/J6/12,0),ROUND(I6*L6/12,0))</f>
        <v>48</v>
      </c>
      <c r="AA6" s="14" t="n">
        <f aca="false">IF(K6="定額",ROUND((I6-M6)/J6/12,0),ROUND(I6*L6/12,0))</f>
        <v>48</v>
      </c>
      <c r="AB6" s="15" t="n">
        <f aca="false">SUM(P6:AA6)</f>
        <v>576</v>
      </c>
      <c r="AC6" s="15" t="n">
        <f aca="false">O6+AB6</f>
        <v>3039</v>
      </c>
      <c r="AD6" s="15" t="n">
        <f aca="false">I6-AC6</f>
        <v>-169</v>
      </c>
      <c r="AE6" s="10" t="s">
        <v>79</v>
      </c>
      <c r="AF6" s="10" t="s">
        <v>80</v>
      </c>
      <c r="AG6" s="9" t="s">
        <v>81</v>
      </c>
      <c r="AH6" s="10" t="s">
        <v>82</v>
      </c>
      <c r="AI6" s="7" t="s">
        <v>113</v>
      </c>
      <c r="AJ6" s="7" t="s">
        <v>84</v>
      </c>
      <c r="AK6" s="7" t="s">
        <v>85</v>
      </c>
      <c r="AL6" s="8" t="s">
        <v>86</v>
      </c>
      <c r="AM6" s="7" t="s">
        <v>84</v>
      </c>
      <c r="AN6" s="11" t="n">
        <v>45584</v>
      </c>
      <c r="AO6" s="11" t="n">
        <v>45847</v>
      </c>
      <c r="AP6" s="11" t="n">
        <v>46067</v>
      </c>
      <c r="AQ6" s="8" t="s">
        <v>87</v>
      </c>
      <c r="AR6" s="12"/>
      <c r="AS6" s="12"/>
      <c r="AT6" s="12"/>
      <c r="AU6" s="7" t="s">
        <v>114</v>
      </c>
      <c r="AV6" s="7" t="s">
        <v>115</v>
      </c>
      <c r="AW6" s="9" t="s">
        <v>90</v>
      </c>
      <c r="AX6" s="8" t="s">
        <v>116</v>
      </c>
      <c r="AY6" s="8" t="s">
        <v>92</v>
      </c>
      <c r="AZ6" s="11" t="n">
        <v>45887</v>
      </c>
      <c r="BA6" s="10" t="s">
        <v>117</v>
      </c>
      <c r="BB6" s="8" t="s">
        <v>87</v>
      </c>
      <c r="BC6" s="11"/>
      <c r="BD6" s="11"/>
      <c r="BE6" s="12"/>
      <c r="BF6" s="11"/>
      <c r="BG6" s="12"/>
      <c r="BH6" s="12"/>
      <c r="BI6" s="10" t="s">
        <v>118</v>
      </c>
    </row>
    <row r="7" customFormat="false" ht="15" hidden="false" customHeight="true" outlineLevel="0" collapsed="false">
      <c r="A7" s="16" t="s">
        <v>119</v>
      </c>
      <c r="B7" s="17" t="s">
        <v>120</v>
      </c>
      <c r="C7" s="18" t="s">
        <v>121</v>
      </c>
      <c r="D7" s="19" t="s">
        <v>122</v>
      </c>
      <c r="E7" s="17" t="s">
        <v>121</v>
      </c>
      <c r="F7" s="18" t="s">
        <v>77</v>
      </c>
      <c r="G7" s="20" t="n">
        <v>45472</v>
      </c>
      <c r="H7" s="20" t="n">
        <v>45493</v>
      </c>
      <c r="I7" s="21" t="n">
        <v>3156</v>
      </c>
      <c r="J7" s="19" t="n">
        <v>6</v>
      </c>
      <c r="K7" s="18" t="s">
        <v>123</v>
      </c>
      <c r="L7" s="22" t="n">
        <v>0.333</v>
      </c>
      <c r="M7" s="21" t="n">
        <v>1</v>
      </c>
      <c r="N7" s="21" t="n">
        <v>2423</v>
      </c>
      <c r="O7" s="21" t="n">
        <v>733</v>
      </c>
      <c r="P7" s="23" t="n">
        <f aca="false">IF(K7="定額",ROUND((I7-M7)/J7/12,0),ROUND(I7*L7/12,0))</f>
        <v>88</v>
      </c>
      <c r="Q7" s="23" t="n">
        <f aca="false">IF(K7="定額",ROUND((I7-M7)/J7/12,0),ROUND(I7*L7/12,0))</f>
        <v>88</v>
      </c>
      <c r="R7" s="23" t="n">
        <f aca="false">IF(K7="定額",ROUND((I7-M7)/J7/12,0),ROUND(I7*L7/12,0))</f>
        <v>88</v>
      </c>
      <c r="S7" s="23" t="n">
        <f aca="false">IF(K7="定額",ROUND((I7-M7)/J7/12,0),ROUND(I7*L7/12,0))</f>
        <v>88</v>
      </c>
      <c r="T7" s="23" t="n">
        <f aca="false">IF(K7="定額",ROUND((I7-M7)/J7/12,0),ROUND(I7*L7/12,0))</f>
        <v>88</v>
      </c>
      <c r="U7" s="23" t="n">
        <f aca="false">IF(K7="定額",ROUND((I7-M7)/J7/12,0),ROUND(I7*L7/12,0))</f>
        <v>88</v>
      </c>
      <c r="V7" s="23" t="n">
        <f aca="false">IF(K7="定額",ROUND((I7-M7)/J7/12,0),ROUND(I7*L7/12,0))</f>
        <v>88</v>
      </c>
      <c r="W7" s="23" t="n">
        <f aca="false">IF(K7="定額",ROUND((I7-M7)/J7/12,0),ROUND(I7*L7/12,0))</f>
        <v>88</v>
      </c>
      <c r="X7" s="23" t="n">
        <f aca="false">IF(K7="定額",ROUND((I7-M7)/J7/12,0),ROUND(I7*L7/12,0))</f>
        <v>88</v>
      </c>
      <c r="Y7" s="23" t="n">
        <f aca="false">IF(K7="定額",ROUND((I7-M7)/J7/12,0),ROUND(I7*L7/12,0))</f>
        <v>88</v>
      </c>
      <c r="Z7" s="23" t="n">
        <f aca="false">IF(K7="定額",ROUND((I7-M7)/J7/12,0),ROUND(I7*L7/12,0))</f>
        <v>88</v>
      </c>
      <c r="AA7" s="23" t="n">
        <f aca="false">IF(K7="定額",ROUND((I7-M7)/J7/12,0),ROUND(I7*L7/12,0))</f>
        <v>88</v>
      </c>
      <c r="AB7" s="24" t="n">
        <f aca="false">SUM(P7:AA7)</f>
        <v>1056</v>
      </c>
      <c r="AC7" s="24" t="n">
        <f aca="false">O7+AB7</f>
        <v>1789</v>
      </c>
      <c r="AD7" s="24" t="n">
        <f aca="false">I7-AC7</f>
        <v>1367</v>
      </c>
      <c r="AE7" s="17" t="s">
        <v>124</v>
      </c>
      <c r="AF7" s="17" t="s">
        <v>125</v>
      </c>
      <c r="AG7" s="19" t="s">
        <v>126</v>
      </c>
      <c r="AH7" s="17" t="s">
        <v>127</v>
      </c>
      <c r="AI7" s="16" t="s">
        <v>128</v>
      </c>
      <c r="AJ7" s="16" t="s">
        <v>129</v>
      </c>
      <c r="AK7" s="16" t="s">
        <v>130</v>
      </c>
      <c r="AL7" s="18" t="s">
        <v>87</v>
      </c>
      <c r="AM7" s="16" t="s">
        <v>90</v>
      </c>
      <c r="AN7" s="20"/>
      <c r="AO7" s="20" t="n">
        <v>45820</v>
      </c>
      <c r="AP7" s="20" t="n">
        <v>46039</v>
      </c>
      <c r="AQ7" s="18" t="s">
        <v>87</v>
      </c>
      <c r="AR7" s="21"/>
      <c r="AS7" s="21"/>
      <c r="AT7" s="21"/>
      <c r="AU7" s="16" t="s">
        <v>131</v>
      </c>
      <c r="AV7" s="16" t="s">
        <v>132</v>
      </c>
      <c r="AW7" s="19" t="s">
        <v>90</v>
      </c>
      <c r="AX7" s="18" t="s">
        <v>116</v>
      </c>
      <c r="AY7" s="18" t="s">
        <v>92</v>
      </c>
      <c r="AZ7" s="20" t="n">
        <v>45877</v>
      </c>
      <c r="BA7" s="17" t="s">
        <v>117</v>
      </c>
      <c r="BB7" s="18" t="s">
        <v>87</v>
      </c>
      <c r="BC7" s="20"/>
      <c r="BD7" s="20"/>
      <c r="BE7" s="21"/>
      <c r="BF7" s="20"/>
      <c r="BG7" s="21"/>
      <c r="BH7" s="21"/>
      <c r="BI7" s="17" t="s">
        <v>133</v>
      </c>
    </row>
    <row r="8" customFormat="false" ht="15" hidden="false" customHeight="true" outlineLevel="0" collapsed="false">
      <c r="A8" s="7" t="s">
        <v>134</v>
      </c>
      <c r="B8" s="7" t="s">
        <v>135</v>
      </c>
      <c r="C8" s="8" t="s">
        <v>75</v>
      </c>
      <c r="D8" s="9" t="s">
        <v>76</v>
      </c>
      <c r="E8" s="10" t="s">
        <v>75</v>
      </c>
      <c r="F8" s="8" t="s">
        <v>136</v>
      </c>
      <c r="G8" s="11" t="n">
        <v>44826</v>
      </c>
      <c r="H8" s="11" t="n">
        <v>44856</v>
      </c>
      <c r="I8" s="12" t="n">
        <v>14065</v>
      </c>
      <c r="J8" s="9" t="n">
        <v>5</v>
      </c>
      <c r="K8" s="8" t="s">
        <v>78</v>
      </c>
      <c r="L8" s="13" t="n">
        <v>0.2</v>
      </c>
      <c r="M8" s="12" t="n">
        <v>1</v>
      </c>
      <c r="N8" s="12" t="n">
        <v>7196</v>
      </c>
      <c r="O8" s="12" t="n">
        <v>6869</v>
      </c>
      <c r="P8" s="14" t="n">
        <f aca="false">IF(K8="定額",ROUND((I8-M8)/J8/12,0),ROUND(I8*L8/12,0))</f>
        <v>234</v>
      </c>
      <c r="Q8" s="14" t="n">
        <f aca="false">IF(K8="定額",ROUND((I8-M8)/J8/12,0),ROUND(I8*L8/12,0))</f>
        <v>234</v>
      </c>
      <c r="R8" s="14" t="n">
        <f aca="false">IF(K8="定額",ROUND((I8-M8)/J8/12,0),ROUND(I8*L8/12,0))</f>
        <v>234</v>
      </c>
      <c r="S8" s="14" t="n">
        <f aca="false">IF(K8="定額",ROUND((I8-M8)/J8/12,0),ROUND(I8*L8/12,0))</f>
        <v>234</v>
      </c>
      <c r="T8" s="14" t="n">
        <f aca="false">IF(K8="定額",ROUND((I8-M8)/J8/12,0),ROUND(I8*L8/12,0))</f>
        <v>234</v>
      </c>
      <c r="U8" s="14" t="n">
        <f aca="false">IF(K8="定額",ROUND((I8-M8)/J8/12,0),ROUND(I8*L8/12,0))</f>
        <v>234</v>
      </c>
      <c r="V8" s="14" t="n">
        <f aca="false">IF(K8="定額",ROUND((I8-M8)/J8/12,0),ROUND(I8*L8/12,0))</f>
        <v>234</v>
      </c>
      <c r="W8" s="14" t="n">
        <f aca="false">IF(K8="定額",ROUND((I8-M8)/J8/12,0),ROUND(I8*L8/12,0))</f>
        <v>234</v>
      </c>
      <c r="X8" s="14" t="n">
        <f aca="false">IF(K8="定額",ROUND((I8-M8)/J8/12,0),ROUND(I8*L8/12,0))</f>
        <v>234</v>
      </c>
      <c r="Y8" s="14" t="n">
        <f aca="false">IF(K8="定額",ROUND((I8-M8)/J8/12,0),ROUND(I8*L8/12,0))</f>
        <v>234</v>
      </c>
      <c r="Z8" s="14" t="n">
        <f aca="false">IF(K8="定額",ROUND((I8-M8)/J8/12,0),ROUND(I8*L8/12,0))</f>
        <v>234</v>
      </c>
      <c r="AA8" s="14" t="n">
        <f aca="false">IF(K8="定額",ROUND((I8-M8)/J8/12,0),ROUND(I8*L8/12,0))</f>
        <v>234</v>
      </c>
      <c r="AB8" s="15" t="n">
        <f aca="false">SUM(P8:AA8)</f>
        <v>2808</v>
      </c>
      <c r="AC8" s="15" t="n">
        <f aca="false">O8+AB8</f>
        <v>9677</v>
      </c>
      <c r="AD8" s="15" t="n">
        <f aca="false">I8-AC8</f>
        <v>4388</v>
      </c>
      <c r="AE8" s="10" t="s">
        <v>99</v>
      </c>
      <c r="AF8" s="10" t="s">
        <v>100</v>
      </c>
      <c r="AG8" s="9" t="s">
        <v>101</v>
      </c>
      <c r="AH8" s="7" t="s">
        <v>102</v>
      </c>
      <c r="AI8" s="7" t="s">
        <v>137</v>
      </c>
      <c r="AJ8" s="10" t="s">
        <v>138</v>
      </c>
      <c r="AK8" s="7" t="s">
        <v>139</v>
      </c>
      <c r="AL8" s="8" t="s">
        <v>87</v>
      </c>
      <c r="AM8" s="7" t="s">
        <v>90</v>
      </c>
      <c r="AN8" s="11"/>
      <c r="AO8" s="11" t="n">
        <v>45792</v>
      </c>
      <c r="AP8" s="11" t="n">
        <v>46236</v>
      </c>
      <c r="AQ8" s="8" t="s">
        <v>87</v>
      </c>
      <c r="AR8" s="12"/>
      <c r="AS8" s="12"/>
      <c r="AT8" s="12"/>
      <c r="AU8" s="7" t="s">
        <v>140</v>
      </c>
      <c r="AV8" s="7" t="s">
        <v>141</v>
      </c>
      <c r="AW8" s="9" t="s">
        <v>142</v>
      </c>
      <c r="AX8" s="8" t="s">
        <v>116</v>
      </c>
      <c r="AY8" s="8" t="s">
        <v>92</v>
      </c>
      <c r="AZ8" s="11" t="n">
        <v>45958</v>
      </c>
      <c r="BA8" s="7" t="s">
        <v>143</v>
      </c>
      <c r="BB8" s="8" t="s">
        <v>87</v>
      </c>
      <c r="BC8" s="11"/>
      <c r="BD8" s="11"/>
      <c r="BE8" s="12"/>
      <c r="BF8" s="11"/>
      <c r="BG8" s="12"/>
      <c r="BH8" s="12"/>
      <c r="BI8" s="7" t="s">
        <v>90</v>
      </c>
    </row>
    <row r="9" customFormat="false" ht="15" hidden="false" customHeight="true" outlineLevel="0" collapsed="false">
      <c r="A9" s="16" t="s">
        <v>144</v>
      </c>
      <c r="B9" s="16" t="s">
        <v>145</v>
      </c>
      <c r="C9" s="18" t="s">
        <v>75</v>
      </c>
      <c r="D9" s="19" t="s">
        <v>76</v>
      </c>
      <c r="E9" s="17" t="s">
        <v>75</v>
      </c>
      <c r="F9" s="18" t="s">
        <v>136</v>
      </c>
      <c r="G9" s="20" t="n">
        <v>44584</v>
      </c>
      <c r="H9" s="20" t="n">
        <v>44598</v>
      </c>
      <c r="I9" s="21" t="n">
        <v>33492</v>
      </c>
      <c r="J9" s="19" t="n">
        <v>5</v>
      </c>
      <c r="K9" s="18" t="s">
        <v>78</v>
      </c>
      <c r="L9" s="22" t="n">
        <v>0.2</v>
      </c>
      <c r="M9" s="21" t="n">
        <v>1</v>
      </c>
      <c r="N9" s="21" t="n">
        <v>12403</v>
      </c>
      <c r="O9" s="21" t="n">
        <v>21089</v>
      </c>
      <c r="P9" s="23" t="n">
        <f aca="false">IF(K9="定額",ROUND((I9-M9)/J9/12,0),ROUND(I9*L9/12,0))</f>
        <v>558</v>
      </c>
      <c r="Q9" s="23" t="n">
        <f aca="false">IF(K9="定額",ROUND((I9-M9)/J9/12,0),ROUND(I9*L9/12,0))</f>
        <v>558</v>
      </c>
      <c r="R9" s="23" t="n">
        <f aca="false">IF(K9="定額",ROUND((I9-M9)/J9/12,0),ROUND(I9*L9/12,0))</f>
        <v>558</v>
      </c>
      <c r="S9" s="23" t="n">
        <f aca="false">IF(K9="定額",ROUND((I9-M9)/J9/12,0),ROUND(I9*L9/12,0))</f>
        <v>558</v>
      </c>
      <c r="T9" s="23" t="n">
        <f aca="false">IF(K9="定額",ROUND((I9-M9)/J9/12,0),ROUND(I9*L9/12,0))</f>
        <v>558</v>
      </c>
      <c r="U9" s="23" t="n">
        <f aca="false">IF(K9="定額",ROUND((I9-M9)/J9/12,0),ROUND(I9*L9/12,0))</f>
        <v>558</v>
      </c>
      <c r="V9" s="23" t="n">
        <f aca="false">IF(K9="定額",ROUND((I9-M9)/J9/12,0),ROUND(I9*L9/12,0))</f>
        <v>558</v>
      </c>
      <c r="W9" s="23" t="n">
        <f aca="false">IF(K9="定額",ROUND((I9-M9)/J9/12,0),ROUND(I9*L9/12,0))</f>
        <v>558</v>
      </c>
      <c r="X9" s="23" t="n">
        <f aca="false">IF(K9="定額",ROUND((I9-M9)/J9/12,0),ROUND(I9*L9/12,0))</f>
        <v>558</v>
      </c>
      <c r="Y9" s="23" t="n">
        <f aca="false">IF(K9="定額",ROUND((I9-M9)/J9/12,0),ROUND(I9*L9/12,0))</f>
        <v>558</v>
      </c>
      <c r="Z9" s="23" t="n">
        <f aca="false">IF(K9="定額",ROUND((I9-M9)/J9/12,0),ROUND(I9*L9/12,0))</f>
        <v>558</v>
      </c>
      <c r="AA9" s="23" t="n">
        <f aca="false">IF(K9="定額",ROUND((I9-M9)/J9/12,0),ROUND(I9*L9/12,0))</f>
        <v>558</v>
      </c>
      <c r="AB9" s="24" t="n">
        <f aca="false">SUM(P9:AA9)</f>
        <v>6696</v>
      </c>
      <c r="AC9" s="24" t="n">
        <f aca="false">O9+AB9</f>
        <v>27785</v>
      </c>
      <c r="AD9" s="24" t="n">
        <f aca="false">I9-AC9</f>
        <v>5707</v>
      </c>
      <c r="AE9" s="17" t="s">
        <v>124</v>
      </c>
      <c r="AF9" s="17" t="s">
        <v>125</v>
      </c>
      <c r="AG9" s="19" t="s">
        <v>126</v>
      </c>
      <c r="AH9" s="17" t="s">
        <v>127</v>
      </c>
      <c r="AI9" s="16" t="s">
        <v>146</v>
      </c>
      <c r="AJ9" s="16" t="s">
        <v>129</v>
      </c>
      <c r="AK9" s="16" t="s">
        <v>130</v>
      </c>
      <c r="AL9" s="18" t="s">
        <v>87</v>
      </c>
      <c r="AM9" s="16" t="s">
        <v>90</v>
      </c>
      <c r="AN9" s="20"/>
      <c r="AO9" s="20" t="n">
        <v>45824</v>
      </c>
      <c r="AP9" s="20" t="n">
        <v>46258</v>
      </c>
      <c r="AQ9" s="18" t="s">
        <v>87</v>
      </c>
      <c r="AR9" s="21"/>
      <c r="AS9" s="21"/>
      <c r="AT9" s="21"/>
      <c r="AU9" s="16" t="s">
        <v>147</v>
      </c>
      <c r="AV9" s="16" t="s">
        <v>148</v>
      </c>
      <c r="AW9" s="19" t="s">
        <v>142</v>
      </c>
      <c r="AX9" s="18" t="s">
        <v>108</v>
      </c>
      <c r="AY9" s="18" t="s">
        <v>92</v>
      </c>
      <c r="AZ9" s="20"/>
      <c r="BA9" s="16" t="s">
        <v>90</v>
      </c>
      <c r="BB9" s="18" t="s">
        <v>87</v>
      </c>
      <c r="BC9" s="20"/>
      <c r="BD9" s="20"/>
      <c r="BE9" s="21"/>
      <c r="BF9" s="20"/>
      <c r="BG9" s="21"/>
      <c r="BH9" s="21"/>
      <c r="BI9" s="17" t="s">
        <v>149</v>
      </c>
    </row>
    <row r="10" customFormat="false" ht="15" hidden="false" customHeight="true" outlineLevel="0" collapsed="false">
      <c r="A10" s="7" t="s">
        <v>150</v>
      </c>
      <c r="B10" s="10" t="s">
        <v>151</v>
      </c>
      <c r="C10" s="8" t="s">
        <v>152</v>
      </c>
      <c r="D10" s="9" t="s">
        <v>153</v>
      </c>
      <c r="E10" s="10" t="s">
        <v>152</v>
      </c>
      <c r="F10" s="9" t="s">
        <v>90</v>
      </c>
      <c r="G10" s="11" t="n">
        <v>43270</v>
      </c>
      <c r="H10" s="11" t="n">
        <v>43284</v>
      </c>
      <c r="I10" s="12" t="n">
        <v>3473</v>
      </c>
      <c r="J10" s="9" t="n">
        <v>30</v>
      </c>
      <c r="K10" s="8" t="s">
        <v>78</v>
      </c>
      <c r="L10" s="13" t="n">
        <v>0.034</v>
      </c>
      <c r="M10" s="12" t="n">
        <v>173</v>
      </c>
      <c r="N10" s="12" t="n">
        <v>2731</v>
      </c>
      <c r="O10" s="12" t="n">
        <v>742</v>
      </c>
      <c r="P10" s="14" t="n">
        <f aca="false">IF(K10="定額",ROUND((I10-M10)/J10/12,0),ROUND(I10*L10/12,0))</f>
        <v>9</v>
      </c>
      <c r="Q10" s="14" t="n">
        <f aca="false">IF(K10="定額",ROUND((I10-M10)/J10/12,0),ROUND(I10*L10/12,0))</f>
        <v>9</v>
      </c>
      <c r="R10" s="14" t="n">
        <f aca="false">IF(K10="定額",ROUND((I10-M10)/J10/12,0),ROUND(I10*L10/12,0))</f>
        <v>9</v>
      </c>
      <c r="S10" s="14" t="n">
        <f aca="false">IF(K10="定額",ROUND((I10-M10)/J10/12,0),ROUND(I10*L10/12,0))</f>
        <v>9</v>
      </c>
      <c r="T10" s="14" t="n">
        <f aca="false">IF(K10="定額",ROUND((I10-M10)/J10/12,0),ROUND(I10*L10/12,0))</f>
        <v>9</v>
      </c>
      <c r="U10" s="14" t="n">
        <f aca="false">IF(K10="定額",ROUND((I10-M10)/J10/12,0),ROUND(I10*L10/12,0))</f>
        <v>9</v>
      </c>
      <c r="V10" s="14" t="n">
        <f aca="false">IF(K10="定額",ROUND((I10-M10)/J10/12,0),ROUND(I10*L10/12,0))</f>
        <v>9</v>
      </c>
      <c r="W10" s="14" t="n">
        <f aca="false">IF(K10="定額",ROUND((I10-M10)/J10/12,0),ROUND(I10*L10/12,0))</f>
        <v>9</v>
      </c>
      <c r="X10" s="14" t="n">
        <f aca="false">IF(K10="定額",ROUND((I10-M10)/J10/12,0),ROUND(I10*L10/12,0))</f>
        <v>9</v>
      </c>
      <c r="Y10" s="14" t="n">
        <f aca="false">IF(K10="定額",ROUND((I10-M10)/J10/12,0),ROUND(I10*L10/12,0))</f>
        <v>9</v>
      </c>
      <c r="Z10" s="14" t="n">
        <f aca="false">IF(K10="定額",ROUND((I10-M10)/J10/12,0),ROUND(I10*L10/12,0))</f>
        <v>9</v>
      </c>
      <c r="AA10" s="14" t="n">
        <f aca="false">IF(K10="定額",ROUND((I10-M10)/J10/12,0),ROUND(I10*L10/12,0))</f>
        <v>9</v>
      </c>
      <c r="AB10" s="15" t="n">
        <f aca="false">SUM(P10:AA10)</f>
        <v>108</v>
      </c>
      <c r="AC10" s="15" t="n">
        <f aca="false">O10+AB10</f>
        <v>850</v>
      </c>
      <c r="AD10" s="15" t="n">
        <f aca="false">I10-AC10</f>
        <v>2623</v>
      </c>
      <c r="AE10" s="10" t="s">
        <v>154</v>
      </c>
      <c r="AF10" s="10" t="s">
        <v>155</v>
      </c>
      <c r="AG10" s="9" t="s">
        <v>156</v>
      </c>
      <c r="AH10" s="10" t="s">
        <v>157</v>
      </c>
      <c r="AI10" s="7" t="s">
        <v>158</v>
      </c>
      <c r="AJ10" s="10" t="s">
        <v>159</v>
      </c>
      <c r="AK10" s="7" t="s">
        <v>160</v>
      </c>
      <c r="AL10" s="8" t="s">
        <v>87</v>
      </c>
      <c r="AM10" s="7" t="s">
        <v>90</v>
      </c>
      <c r="AN10" s="11"/>
      <c r="AO10" s="11" t="n">
        <v>45764</v>
      </c>
      <c r="AP10" s="11" t="n">
        <v>45995</v>
      </c>
      <c r="AQ10" s="8" t="s">
        <v>87</v>
      </c>
      <c r="AR10" s="12"/>
      <c r="AS10" s="12"/>
      <c r="AT10" s="12"/>
      <c r="AU10" s="7" t="s">
        <v>161</v>
      </c>
      <c r="AV10" s="7" t="s">
        <v>162</v>
      </c>
      <c r="AW10" s="9" t="s">
        <v>90</v>
      </c>
      <c r="AX10" s="8" t="s">
        <v>116</v>
      </c>
      <c r="AY10" s="8" t="s">
        <v>92</v>
      </c>
      <c r="AZ10" s="11" t="n">
        <v>45944</v>
      </c>
      <c r="BA10" s="10" t="s">
        <v>163</v>
      </c>
      <c r="BB10" s="8" t="s">
        <v>87</v>
      </c>
      <c r="BC10" s="11"/>
      <c r="BD10" s="11"/>
      <c r="BE10" s="12"/>
      <c r="BF10" s="11"/>
      <c r="BG10" s="12"/>
      <c r="BH10" s="12"/>
      <c r="BI10" s="10" t="s">
        <v>164</v>
      </c>
    </row>
    <row r="11" customFormat="false" ht="15" hidden="false" customHeight="true" outlineLevel="0" collapsed="false">
      <c r="A11" s="16" t="s">
        <v>165</v>
      </c>
      <c r="B11" s="16" t="s">
        <v>166</v>
      </c>
      <c r="C11" s="18" t="s">
        <v>75</v>
      </c>
      <c r="D11" s="19" t="s">
        <v>76</v>
      </c>
      <c r="E11" s="17" t="s">
        <v>75</v>
      </c>
      <c r="F11" s="18" t="s">
        <v>77</v>
      </c>
      <c r="G11" s="20" t="n">
        <v>44467</v>
      </c>
      <c r="H11" s="20" t="n">
        <v>44499</v>
      </c>
      <c r="I11" s="21" t="n">
        <v>33711</v>
      </c>
      <c r="J11" s="19" t="n">
        <v>5</v>
      </c>
      <c r="K11" s="18" t="s">
        <v>78</v>
      </c>
      <c r="L11" s="22" t="n">
        <v>0.2</v>
      </c>
      <c r="M11" s="21" t="n">
        <v>1</v>
      </c>
      <c r="N11" s="21" t="n">
        <v>10657</v>
      </c>
      <c r="O11" s="21" t="n">
        <v>23054</v>
      </c>
      <c r="P11" s="23" t="n">
        <f aca="false">IF(K11="定額",ROUND((I11-M11)/J11/12,0),ROUND(I11*L11/12,0))</f>
        <v>562</v>
      </c>
      <c r="Q11" s="23" t="n">
        <f aca="false">IF(K11="定額",ROUND((I11-M11)/J11/12,0),ROUND(I11*L11/12,0))</f>
        <v>562</v>
      </c>
      <c r="R11" s="23" t="n">
        <f aca="false">IF(K11="定額",ROUND((I11-M11)/J11/12,0),ROUND(I11*L11/12,0))</f>
        <v>562</v>
      </c>
      <c r="S11" s="23" t="n">
        <f aca="false">IF(K11="定額",ROUND((I11-M11)/J11/12,0),ROUND(I11*L11/12,0))</f>
        <v>562</v>
      </c>
      <c r="T11" s="23" t="n">
        <f aca="false">IF(K11="定額",ROUND((I11-M11)/J11/12,0),ROUND(I11*L11/12,0))</f>
        <v>562</v>
      </c>
      <c r="U11" s="23" t="n">
        <f aca="false">IF(K11="定額",ROUND((I11-M11)/J11/12,0),ROUND(I11*L11/12,0))</f>
        <v>562</v>
      </c>
      <c r="V11" s="23" t="n">
        <f aca="false">IF(K11="定額",ROUND((I11-M11)/J11/12,0),ROUND(I11*L11/12,0))</f>
        <v>562</v>
      </c>
      <c r="W11" s="23" t="n">
        <f aca="false">IF(K11="定額",ROUND((I11-M11)/J11/12,0),ROUND(I11*L11/12,0))</f>
        <v>562</v>
      </c>
      <c r="X11" s="23" t="n">
        <f aca="false">IF(K11="定額",ROUND((I11-M11)/J11/12,0),ROUND(I11*L11/12,0))</f>
        <v>562</v>
      </c>
      <c r="Y11" s="23" t="n">
        <f aca="false">IF(K11="定額",ROUND((I11-M11)/J11/12,0),ROUND(I11*L11/12,0))</f>
        <v>562</v>
      </c>
      <c r="Z11" s="23" t="n">
        <f aca="false">IF(K11="定額",ROUND((I11-M11)/J11/12,0),ROUND(I11*L11/12,0))</f>
        <v>562</v>
      </c>
      <c r="AA11" s="23" t="n">
        <f aca="false">IF(K11="定額",ROUND((I11-M11)/J11/12,0),ROUND(I11*L11/12,0))</f>
        <v>562</v>
      </c>
      <c r="AB11" s="24" t="n">
        <f aca="false">SUM(P11:AA11)</f>
        <v>6744</v>
      </c>
      <c r="AC11" s="24" t="n">
        <f aca="false">O11+AB11</f>
        <v>29798</v>
      </c>
      <c r="AD11" s="24" t="n">
        <f aca="false">I11-AC11</f>
        <v>3913</v>
      </c>
      <c r="AE11" s="17" t="s">
        <v>167</v>
      </c>
      <c r="AF11" s="17" t="s">
        <v>168</v>
      </c>
      <c r="AG11" s="19" t="s">
        <v>169</v>
      </c>
      <c r="AH11" s="17" t="s">
        <v>170</v>
      </c>
      <c r="AI11" s="16" t="s">
        <v>171</v>
      </c>
      <c r="AJ11" s="16" t="s">
        <v>129</v>
      </c>
      <c r="AK11" s="16" t="s">
        <v>130</v>
      </c>
      <c r="AL11" s="18" t="s">
        <v>87</v>
      </c>
      <c r="AM11" s="16" t="s">
        <v>90</v>
      </c>
      <c r="AN11" s="20"/>
      <c r="AO11" s="20" t="n">
        <v>45842</v>
      </c>
      <c r="AP11" s="20" t="n">
        <v>46232</v>
      </c>
      <c r="AQ11" s="18" t="s">
        <v>87</v>
      </c>
      <c r="AR11" s="21"/>
      <c r="AS11" s="21"/>
      <c r="AT11" s="21"/>
      <c r="AU11" s="16" t="s">
        <v>172</v>
      </c>
      <c r="AV11" s="16" t="s">
        <v>173</v>
      </c>
      <c r="AW11" s="19" t="s">
        <v>142</v>
      </c>
      <c r="AX11" s="18" t="s">
        <v>91</v>
      </c>
      <c r="AY11" s="18" t="s">
        <v>174</v>
      </c>
      <c r="AZ11" s="20" t="n">
        <v>45871</v>
      </c>
      <c r="BA11" s="17" t="s">
        <v>109</v>
      </c>
      <c r="BB11" s="18" t="s">
        <v>87</v>
      </c>
      <c r="BC11" s="20"/>
      <c r="BD11" s="20"/>
      <c r="BE11" s="21"/>
      <c r="BF11" s="20"/>
      <c r="BG11" s="21"/>
      <c r="BH11" s="21"/>
      <c r="BI11" s="17" t="s">
        <v>149</v>
      </c>
    </row>
    <row r="12" customFormat="false" ht="15" hidden="false" customHeight="true" outlineLevel="0" collapsed="false">
      <c r="A12" s="7" t="s">
        <v>175</v>
      </c>
      <c r="B12" s="10" t="s">
        <v>176</v>
      </c>
      <c r="C12" s="8" t="s">
        <v>96</v>
      </c>
      <c r="D12" s="9" t="s">
        <v>97</v>
      </c>
      <c r="E12" s="10" t="s">
        <v>96</v>
      </c>
      <c r="F12" s="9" t="s">
        <v>90</v>
      </c>
      <c r="G12" s="11" t="n">
        <v>45179</v>
      </c>
      <c r="H12" s="11" t="n">
        <v>45199</v>
      </c>
      <c r="I12" s="12" t="n">
        <v>429245</v>
      </c>
      <c r="J12" s="9" t="n">
        <v>15</v>
      </c>
      <c r="K12" s="8" t="s">
        <v>78</v>
      </c>
      <c r="L12" s="13" t="n">
        <v>0.067</v>
      </c>
      <c r="M12" s="12" t="n">
        <v>1</v>
      </c>
      <c r="N12" s="12" t="n">
        <v>386233</v>
      </c>
      <c r="O12" s="12" t="n">
        <v>43012</v>
      </c>
      <c r="P12" s="14" t="n">
        <f aca="false">IF(K12="定額",ROUND((I12-M12)/J12/12,0),ROUND(I12*L12/12,0))</f>
        <v>2385</v>
      </c>
      <c r="Q12" s="14" t="n">
        <f aca="false">IF(K12="定額",ROUND((I12-M12)/J12/12,0),ROUND(I12*L12/12,0))</f>
        <v>2385</v>
      </c>
      <c r="R12" s="14" t="n">
        <f aca="false">IF(K12="定額",ROUND((I12-M12)/J12/12,0),ROUND(I12*L12/12,0))</f>
        <v>2385</v>
      </c>
      <c r="S12" s="14" t="n">
        <f aca="false">IF(K12="定額",ROUND((I12-M12)/J12/12,0),ROUND(I12*L12/12,0))</f>
        <v>2385</v>
      </c>
      <c r="T12" s="14" t="n">
        <f aca="false">IF(K12="定額",ROUND((I12-M12)/J12/12,0),ROUND(I12*L12/12,0))</f>
        <v>2385</v>
      </c>
      <c r="U12" s="14" t="n">
        <f aca="false">IF(K12="定額",ROUND((I12-M12)/J12/12,0),ROUND(I12*L12/12,0))</f>
        <v>2385</v>
      </c>
      <c r="V12" s="14" t="n">
        <f aca="false">IF(K12="定額",ROUND((I12-M12)/J12/12,0),ROUND(I12*L12/12,0))</f>
        <v>2385</v>
      </c>
      <c r="W12" s="14" t="n">
        <f aca="false">IF(K12="定額",ROUND((I12-M12)/J12/12,0),ROUND(I12*L12/12,0))</f>
        <v>2385</v>
      </c>
      <c r="X12" s="14" t="n">
        <f aca="false">IF(K12="定額",ROUND((I12-M12)/J12/12,0),ROUND(I12*L12/12,0))</f>
        <v>2385</v>
      </c>
      <c r="Y12" s="14" t="n">
        <f aca="false">IF(K12="定額",ROUND((I12-M12)/J12/12,0),ROUND(I12*L12/12,0))</f>
        <v>2385</v>
      </c>
      <c r="Z12" s="14" t="n">
        <f aca="false">IF(K12="定額",ROUND((I12-M12)/J12/12,0),ROUND(I12*L12/12,0))</f>
        <v>2385</v>
      </c>
      <c r="AA12" s="14" t="n">
        <f aca="false">IF(K12="定額",ROUND((I12-M12)/J12/12,0),ROUND(I12*L12/12,0))</f>
        <v>2385</v>
      </c>
      <c r="AB12" s="15" t="n">
        <f aca="false">SUM(P12:AA12)</f>
        <v>28620</v>
      </c>
      <c r="AC12" s="15" t="n">
        <f aca="false">O12+AB12</f>
        <v>71632</v>
      </c>
      <c r="AD12" s="15" t="n">
        <f aca="false">I12-AC12</f>
        <v>357613</v>
      </c>
      <c r="AE12" s="10" t="s">
        <v>124</v>
      </c>
      <c r="AF12" s="10" t="s">
        <v>125</v>
      </c>
      <c r="AG12" s="9" t="s">
        <v>126</v>
      </c>
      <c r="AH12" s="10" t="s">
        <v>127</v>
      </c>
      <c r="AI12" s="7" t="s">
        <v>177</v>
      </c>
      <c r="AJ12" s="7" t="s">
        <v>129</v>
      </c>
      <c r="AK12" s="7" t="s">
        <v>130</v>
      </c>
      <c r="AL12" s="8" t="s">
        <v>86</v>
      </c>
      <c r="AM12" s="7" t="s">
        <v>129</v>
      </c>
      <c r="AN12" s="11" t="n">
        <v>45909</v>
      </c>
      <c r="AO12" s="11" t="n">
        <v>45732</v>
      </c>
      <c r="AP12" s="11" t="n">
        <v>46151</v>
      </c>
      <c r="AQ12" s="8" t="s">
        <v>87</v>
      </c>
      <c r="AR12" s="12"/>
      <c r="AS12" s="12"/>
      <c r="AT12" s="12"/>
      <c r="AU12" s="7" t="s">
        <v>178</v>
      </c>
      <c r="AV12" s="7" t="s">
        <v>179</v>
      </c>
      <c r="AW12" s="9" t="s">
        <v>142</v>
      </c>
      <c r="AX12" s="8" t="s">
        <v>116</v>
      </c>
      <c r="AY12" s="8" t="s">
        <v>180</v>
      </c>
      <c r="AZ12" s="11" t="n">
        <v>45951</v>
      </c>
      <c r="BA12" s="7" t="s">
        <v>143</v>
      </c>
      <c r="BB12" s="8" t="s">
        <v>86</v>
      </c>
      <c r="BC12" s="11" t="n">
        <v>45834</v>
      </c>
      <c r="BD12" s="11" t="n">
        <v>45755</v>
      </c>
      <c r="BE12" s="12"/>
      <c r="BF12" s="11"/>
      <c r="BG12" s="12"/>
      <c r="BH12" s="12"/>
      <c r="BI12" s="10" t="s">
        <v>110</v>
      </c>
    </row>
    <row r="13" customFormat="false" ht="15" hidden="false" customHeight="true" outlineLevel="0" collapsed="false">
      <c r="A13" s="16" t="s">
        <v>181</v>
      </c>
      <c r="B13" s="17" t="s">
        <v>182</v>
      </c>
      <c r="C13" s="18" t="s">
        <v>96</v>
      </c>
      <c r="D13" s="19" t="s">
        <v>97</v>
      </c>
      <c r="E13" s="17" t="s">
        <v>96</v>
      </c>
      <c r="F13" s="18" t="s">
        <v>77</v>
      </c>
      <c r="G13" s="20" t="n">
        <v>44919</v>
      </c>
      <c r="H13" s="20" t="n">
        <v>44937</v>
      </c>
      <c r="I13" s="21" t="n">
        <v>2781</v>
      </c>
      <c r="J13" s="19" t="n">
        <v>15</v>
      </c>
      <c r="K13" s="18" t="s">
        <v>78</v>
      </c>
      <c r="L13" s="22" t="n">
        <v>0.067</v>
      </c>
      <c r="M13" s="21" t="n">
        <v>1</v>
      </c>
      <c r="N13" s="21" t="n">
        <v>2370</v>
      </c>
      <c r="O13" s="21" t="n">
        <v>411</v>
      </c>
      <c r="P13" s="23" t="n">
        <f aca="false">IF(K13="定額",ROUND((I13-M13)/J13/12,0),ROUND(I13*L13/12,0))</f>
        <v>15</v>
      </c>
      <c r="Q13" s="23" t="n">
        <f aca="false">IF(K13="定額",ROUND((I13-M13)/J13/12,0),ROUND(I13*L13/12,0))</f>
        <v>15</v>
      </c>
      <c r="R13" s="23" t="n">
        <f aca="false">IF(K13="定額",ROUND((I13-M13)/J13/12,0),ROUND(I13*L13/12,0))</f>
        <v>15</v>
      </c>
      <c r="S13" s="23" t="n">
        <f aca="false">IF(K13="定額",ROUND((I13-M13)/J13/12,0),ROUND(I13*L13/12,0))</f>
        <v>15</v>
      </c>
      <c r="T13" s="23" t="n">
        <f aca="false">IF(K13="定額",ROUND((I13-M13)/J13/12,0),ROUND(I13*L13/12,0))</f>
        <v>15</v>
      </c>
      <c r="U13" s="23" t="n">
        <f aca="false">IF(K13="定額",ROUND((I13-M13)/J13/12,0),ROUND(I13*L13/12,0))</f>
        <v>15</v>
      </c>
      <c r="V13" s="23" t="n">
        <f aca="false">IF(K13="定額",ROUND((I13-M13)/J13/12,0),ROUND(I13*L13/12,0))</f>
        <v>15</v>
      </c>
      <c r="W13" s="23" t="n">
        <f aca="false">IF(K13="定額",ROUND((I13-M13)/J13/12,0),ROUND(I13*L13/12,0))</f>
        <v>15</v>
      </c>
      <c r="X13" s="23" t="n">
        <f aca="false">IF(K13="定額",ROUND((I13-M13)/J13/12,0),ROUND(I13*L13/12,0))</f>
        <v>15</v>
      </c>
      <c r="Y13" s="23" t="n">
        <f aca="false">IF(K13="定額",ROUND((I13-M13)/J13/12,0),ROUND(I13*L13/12,0))</f>
        <v>15</v>
      </c>
      <c r="Z13" s="23" t="n">
        <f aca="false">IF(K13="定額",ROUND((I13-M13)/J13/12,0),ROUND(I13*L13/12,0))</f>
        <v>15</v>
      </c>
      <c r="AA13" s="23" t="n">
        <f aca="false">IF(K13="定額",ROUND((I13-M13)/J13/12,0),ROUND(I13*L13/12,0))</f>
        <v>15</v>
      </c>
      <c r="AB13" s="24" t="n">
        <f aca="false">SUM(P13:AA13)</f>
        <v>180</v>
      </c>
      <c r="AC13" s="24" t="n">
        <f aca="false">O13+AB13</f>
        <v>591</v>
      </c>
      <c r="AD13" s="24" t="n">
        <f aca="false">I13-AC13</f>
        <v>2190</v>
      </c>
      <c r="AE13" s="17" t="s">
        <v>183</v>
      </c>
      <c r="AF13" s="17" t="s">
        <v>184</v>
      </c>
      <c r="AG13" s="19" t="s">
        <v>185</v>
      </c>
      <c r="AH13" s="17" t="s">
        <v>186</v>
      </c>
      <c r="AI13" s="16" t="s">
        <v>187</v>
      </c>
      <c r="AJ13" s="17" t="s">
        <v>188</v>
      </c>
      <c r="AK13" s="16" t="s">
        <v>189</v>
      </c>
      <c r="AL13" s="18" t="s">
        <v>86</v>
      </c>
      <c r="AM13" s="17" t="s">
        <v>188</v>
      </c>
      <c r="AN13" s="20" t="n">
        <v>46744</v>
      </c>
      <c r="AO13" s="20" t="n">
        <v>45777</v>
      </c>
      <c r="AP13" s="20" t="n">
        <v>46040</v>
      </c>
      <c r="AQ13" s="18" t="s">
        <v>87</v>
      </c>
      <c r="AR13" s="21"/>
      <c r="AS13" s="21"/>
      <c r="AT13" s="21"/>
      <c r="AU13" s="16" t="s">
        <v>190</v>
      </c>
      <c r="AV13" s="16" t="s">
        <v>191</v>
      </c>
      <c r="AW13" s="19" t="s">
        <v>90</v>
      </c>
      <c r="AX13" s="18" t="s">
        <v>108</v>
      </c>
      <c r="AY13" s="18" t="s">
        <v>92</v>
      </c>
      <c r="AZ13" s="20" t="n">
        <v>45909</v>
      </c>
      <c r="BA13" s="17" t="s">
        <v>109</v>
      </c>
      <c r="BB13" s="18" t="s">
        <v>87</v>
      </c>
      <c r="BC13" s="20"/>
      <c r="BD13" s="20"/>
      <c r="BE13" s="21"/>
      <c r="BF13" s="20"/>
      <c r="BG13" s="21"/>
      <c r="BH13" s="21"/>
      <c r="BI13" s="17" t="s">
        <v>133</v>
      </c>
    </row>
    <row r="14" customFormat="false" ht="15" hidden="false" customHeight="true" outlineLevel="0" collapsed="false">
      <c r="A14" s="7" t="s">
        <v>192</v>
      </c>
      <c r="B14" s="10" t="s">
        <v>193</v>
      </c>
      <c r="C14" s="8" t="s">
        <v>121</v>
      </c>
      <c r="D14" s="9" t="s">
        <v>122</v>
      </c>
      <c r="E14" s="10" t="s">
        <v>121</v>
      </c>
      <c r="F14" s="8" t="s">
        <v>98</v>
      </c>
      <c r="G14" s="11" t="n">
        <v>43968</v>
      </c>
      <c r="H14" s="11" t="n">
        <v>43993</v>
      </c>
      <c r="I14" s="12" t="n">
        <v>353657</v>
      </c>
      <c r="J14" s="9" t="n">
        <v>6</v>
      </c>
      <c r="K14" s="8" t="s">
        <v>123</v>
      </c>
      <c r="L14" s="13" t="n">
        <v>0.333</v>
      </c>
      <c r="M14" s="12" t="n">
        <v>1</v>
      </c>
      <c r="N14" s="12" t="n">
        <v>1</v>
      </c>
      <c r="O14" s="12" t="n">
        <v>353656</v>
      </c>
      <c r="P14" s="14" t="n">
        <f aca="false">IF(K14="定額",ROUND((I14-M14)/J14/12,0),ROUND(I14*L14/12,0))</f>
        <v>9814</v>
      </c>
      <c r="Q14" s="14" t="n">
        <f aca="false">IF(K14="定額",ROUND((I14-M14)/J14/12,0),ROUND(I14*L14/12,0))</f>
        <v>9814</v>
      </c>
      <c r="R14" s="14" t="n">
        <f aca="false">IF(K14="定額",ROUND((I14-M14)/J14/12,0),ROUND(I14*L14/12,0))</f>
        <v>9814</v>
      </c>
      <c r="S14" s="14" t="n">
        <f aca="false">IF(K14="定額",ROUND((I14-M14)/J14/12,0),ROUND(I14*L14/12,0))</f>
        <v>9814</v>
      </c>
      <c r="T14" s="14" t="n">
        <f aca="false">IF(K14="定額",ROUND((I14-M14)/J14/12,0),ROUND(I14*L14/12,0))</f>
        <v>9814</v>
      </c>
      <c r="U14" s="14" t="n">
        <f aca="false">IF(K14="定額",ROUND((I14-M14)/J14/12,0),ROUND(I14*L14/12,0))</f>
        <v>9814</v>
      </c>
      <c r="V14" s="14" t="n">
        <f aca="false">IF(K14="定額",ROUND((I14-M14)/J14/12,0),ROUND(I14*L14/12,0))</f>
        <v>9814</v>
      </c>
      <c r="W14" s="14" t="n">
        <f aca="false">IF(K14="定額",ROUND((I14-M14)/J14/12,0),ROUND(I14*L14/12,0))</f>
        <v>9814</v>
      </c>
      <c r="X14" s="14" t="n">
        <f aca="false">IF(K14="定額",ROUND((I14-M14)/J14/12,0),ROUND(I14*L14/12,0))</f>
        <v>9814</v>
      </c>
      <c r="Y14" s="14" t="n">
        <f aca="false">IF(K14="定額",ROUND((I14-M14)/J14/12,0),ROUND(I14*L14/12,0))</f>
        <v>9814</v>
      </c>
      <c r="Z14" s="14" t="n">
        <f aca="false">IF(K14="定額",ROUND((I14-M14)/J14/12,0),ROUND(I14*L14/12,0))</f>
        <v>9814</v>
      </c>
      <c r="AA14" s="14" t="n">
        <f aca="false">IF(K14="定額",ROUND((I14-M14)/J14/12,0),ROUND(I14*L14/12,0))</f>
        <v>9814</v>
      </c>
      <c r="AB14" s="15" t="n">
        <f aca="false">SUM(P14:AA14)</f>
        <v>117768</v>
      </c>
      <c r="AC14" s="15" t="n">
        <f aca="false">O14+AB14</f>
        <v>471424</v>
      </c>
      <c r="AD14" s="15" t="n">
        <f aca="false">I14-AC14</f>
        <v>-117767</v>
      </c>
      <c r="AE14" s="10" t="s">
        <v>183</v>
      </c>
      <c r="AF14" s="10" t="s">
        <v>184</v>
      </c>
      <c r="AG14" s="9" t="s">
        <v>185</v>
      </c>
      <c r="AH14" s="10" t="s">
        <v>186</v>
      </c>
      <c r="AI14" s="7" t="s">
        <v>194</v>
      </c>
      <c r="AJ14" s="10" t="s">
        <v>188</v>
      </c>
      <c r="AK14" s="7" t="s">
        <v>189</v>
      </c>
      <c r="AL14" s="8" t="s">
        <v>87</v>
      </c>
      <c r="AM14" s="7" t="s">
        <v>90</v>
      </c>
      <c r="AN14" s="11"/>
      <c r="AO14" s="11" t="n">
        <v>45772</v>
      </c>
      <c r="AP14" s="11" t="n">
        <v>46202</v>
      </c>
      <c r="AQ14" s="8" t="s">
        <v>87</v>
      </c>
      <c r="AR14" s="12"/>
      <c r="AS14" s="12"/>
      <c r="AT14" s="12"/>
      <c r="AU14" s="7" t="s">
        <v>195</v>
      </c>
      <c r="AV14" s="7" t="s">
        <v>196</v>
      </c>
      <c r="AW14" s="9" t="s">
        <v>142</v>
      </c>
      <c r="AX14" s="8" t="s">
        <v>108</v>
      </c>
      <c r="AY14" s="8" t="s">
        <v>92</v>
      </c>
      <c r="AZ14" s="11" t="n">
        <v>45891</v>
      </c>
      <c r="BA14" s="10" t="s">
        <v>109</v>
      </c>
      <c r="BB14" s="8" t="s">
        <v>87</v>
      </c>
      <c r="BC14" s="11"/>
      <c r="BD14" s="11"/>
      <c r="BE14" s="12"/>
      <c r="BF14" s="11"/>
      <c r="BG14" s="12"/>
      <c r="BH14" s="12"/>
      <c r="BI14" s="7" t="s">
        <v>90</v>
      </c>
    </row>
    <row r="15" customFormat="false" ht="15" hidden="false" customHeight="true" outlineLevel="0" collapsed="false">
      <c r="A15" s="16" t="s">
        <v>197</v>
      </c>
      <c r="B15" s="17" t="s">
        <v>198</v>
      </c>
      <c r="C15" s="18" t="s">
        <v>199</v>
      </c>
      <c r="D15" s="19" t="s">
        <v>200</v>
      </c>
      <c r="E15" s="17" t="s">
        <v>199</v>
      </c>
      <c r="F15" s="18" t="s">
        <v>136</v>
      </c>
      <c r="G15" s="20" t="n">
        <v>43353</v>
      </c>
      <c r="H15" s="20" t="n">
        <v>43399</v>
      </c>
      <c r="I15" s="21" t="n">
        <v>394652</v>
      </c>
      <c r="J15" s="19" t="n">
        <v>5</v>
      </c>
      <c r="K15" s="18" t="s">
        <v>78</v>
      </c>
      <c r="L15" s="22" t="n">
        <v>0.2</v>
      </c>
      <c r="M15" s="21" t="n">
        <v>1</v>
      </c>
      <c r="N15" s="21" t="n">
        <v>39467</v>
      </c>
      <c r="O15" s="21" t="n">
        <v>355185</v>
      </c>
      <c r="P15" s="23" t="n">
        <f aca="false">IF(K15="定額",ROUND((I15-M15)/J15/12,0),ROUND(I15*L15/12,0))</f>
        <v>6578</v>
      </c>
      <c r="Q15" s="23" t="n">
        <f aca="false">IF(K15="定額",ROUND((I15-M15)/J15/12,0),ROUND(I15*L15/12,0))</f>
        <v>6578</v>
      </c>
      <c r="R15" s="23" t="n">
        <f aca="false">IF(K15="定額",ROUND((I15-M15)/J15/12,0),ROUND(I15*L15/12,0))</f>
        <v>6578</v>
      </c>
      <c r="S15" s="23" t="n">
        <f aca="false">IF(K15="定額",ROUND((I15-M15)/J15/12,0),ROUND(I15*L15/12,0))</f>
        <v>6578</v>
      </c>
      <c r="T15" s="23" t="n">
        <f aca="false">IF(K15="定額",ROUND((I15-M15)/J15/12,0),ROUND(I15*L15/12,0))</f>
        <v>6578</v>
      </c>
      <c r="U15" s="23" t="n">
        <f aca="false">IF(K15="定額",ROUND((I15-M15)/J15/12,0),ROUND(I15*L15/12,0))</f>
        <v>6578</v>
      </c>
      <c r="V15" s="23" t="n">
        <f aca="false">IF(K15="定額",ROUND((I15-M15)/J15/12,0),ROUND(I15*L15/12,0))</f>
        <v>6578</v>
      </c>
      <c r="W15" s="23" t="n">
        <f aca="false">IF(K15="定額",ROUND((I15-M15)/J15/12,0),ROUND(I15*L15/12,0))</f>
        <v>6578</v>
      </c>
      <c r="X15" s="23" t="n">
        <f aca="false">IF(K15="定額",ROUND((I15-M15)/J15/12,0),ROUND(I15*L15/12,0))</f>
        <v>6578</v>
      </c>
      <c r="Y15" s="23" t="n">
        <f aca="false">IF(K15="定額",ROUND((I15-M15)/J15/12,0),ROUND(I15*L15/12,0))</f>
        <v>6578</v>
      </c>
      <c r="Z15" s="23" t="n">
        <f aca="false">IF(K15="定額",ROUND((I15-M15)/J15/12,0),ROUND(I15*L15/12,0))</f>
        <v>6578</v>
      </c>
      <c r="AA15" s="23" t="n">
        <f aca="false">IF(K15="定額",ROUND((I15-M15)/J15/12,0),ROUND(I15*L15/12,0))</f>
        <v>6578</v>
      </c>
      <c r="AB15" s="24" t="n">
        <f aca="false">SUM(P15:AA15)</f>
        <v>78936</v>
      </c>
      <c r="AC15" s="24" t="n">
        <f aca="false">O15+AB15</f>
        <v>434121</v>
      </c>
      <c r="AD15" s="24" t="n">
        <f aca="false">I15-AC15</f>
        <v>-39469</v>
      </c>
      <c r="AE15" s="17" t="s">
        <v>167</v>
      </c>
      <c r="AF15" s="17" t="s">
        <v>168</v>
      </c>
      <c r="AG15" s="19" t="s">
        <v>169</v>
      </c>
      <c r="AH15" s="17" t="s">
        <v>170</v>
      </c>
      <c r="AI15" s="16" t="s">
        <v>201</v>
      </c>
      <c r="AJ15" s="17" t="s">
        <v>138</v>
      </c>
      <c r="AK15" s="16" t="s">
        <v>139</v>
      </c>
      <c r="AL15" s="18" t="s">
        <v>86</v>
      </c>
      <c r="AM15" s="17" t="s">
        <v>138</v>
      </c>
      <c r="AN15" s="20" t="n">
        <v>44813</v>
      </c>
      <c r="AO15" s="20" t="n">
        <v>45799</v>
      </c>
      <c r="AP15" s="20" t="n">
        <v>45998</v>
      </c>
      <c r="AQ15" s="18" t="s">
        <v>87</v>
      </c>
      <c r="AR15" s="21"/>
      <c r="AS15" s="21"/>
      <c r="AT15" s="21"/>
      <c r="AU15" s="16" t="s">
        <v>202</v>
      </c>
      <c r="AV15" s="16" t="s">
        <v>203</v>
      </c>
      <c r="AW15" s="19" t="s">
        <v>142</v>
      </c>
      <c r="AX15" s="18" t="s">
        <v>116</v>
      </c>
      <c r="AY15" s="18" t="s">
        <v>92</v>
      </c>
      <c r="AZ15" s="20"/>
      <c r="BA15" s="16" t="s">
        <v>143</v>
      </c>
      <c r="BB15" s="18" t="s">
        <v>86</v>
      </c>
      <c r="BC15" s="20" t="n">
        <v>45888</v>
      </c>
      <c r="BD15" s="20"/>
      <c r="BE15" s="21"/>
      <c r="BF15" s="20"/>
      <c r="BG15" s="21"/>
      <c r="BH15" s="21"/>
      <c r="BI15" s="16" t="s">
        <v>90</v>
      </c>
    </row>
    <row r="16" customFormat="false" ht="15" hidden="false" customHeight="true" outlineLevel="0" collapsed="false">
      <c r="A16" s="7" t="s">
        <v>204</v>
      </c>
      <c r="B16" s="10" t="s">
        <v>205</v>
      </c>
      <c r="C16" s="8" t="s">
        <v>152</v>
      </c>
      <c r="D16" s="9" t="s">
        <v>153</v>
      </c>
      <c r="E16" s="10" t="s">
        <v>152</v>
      </c>
      <c r="F16" s="8" t="s">
        <v>98</v>
      </c>
      <c r="G16" s="11" t="n">
        <v>44277</v>
      </c>
      <c r="H16" s="11" t="n">
        <v>44292</v>
      </c>
      <c r="I16" s="12" t="n">
        <v>9508</v>
      </c>
      <c r="J16" s="9" t="n">
        <v>30</v>
      </c>
      <c r="K16" s="8" t="s">
        <v>78</v>
      </c>
      <c r="L16" s="13" t="n">
        <v>0.034</v>
      </c>
      <c r="M16" s="12" t="n">
        <v>475</v>
      </c>
      <c r="N16" s="12" t="n">
        <v>8308</v>
      </c>
      <c r="O16" s="12" t="n">
        <v>1200</v>
      </c>
      <c r="P16" s="14" t="n">
        <f aca="false">IF(K16="定額",ROUND((I16-M16)/J16/12,0),ROUND(I16*L16/12,0))</f>
        <v>25</v>
      </c>
      <c r="Q16" s="14" t="n">
        <f aca="false">IF(K16="定額",ROUND((I16-M16)/J16/12,0),ROUND(I16*L16/12,0))</f>
        <v>25</v>
      </c>
      <c r="R16" s="14" t="n">
        <f aca="false">IF(K16="定額",ROUND((I16-M16)/J16/12,0),ROUND(I16*L16/12,0))</f>
        <v>25</v>
      </c>
      <c r="S16" s="14" t="n">
        <f aca="false">IF(K16="定額",ROUND((I16-M16)/J16/12,0),ROUND(I16*L16/12,0))</f>
        <v>25</v>
      </c>
      <c r="T16" s="14" t="n">
        <f aca="false">IF(K16="定額",ROUND((I16-M16)/J16/12,0),ROUND(I16*L16/12,0))</f>
        <v>25</v>
      </c>
      <c r="U16" s="14" t="n">
        <f aca="false">IF(K16="定額",ROUND((I16-M16)/J16/12,0),ROUND(I16*L16/12,0))</f>
        <v>25</v>
      </c>
      <c r="V16" s="14" t="n">
        <f aca="false">IF(K16="定額",ROUND((I16-M16)/J16/12,0),ROUND(I16*L16/12,0))</f>
        <v>25</v>
      </c>
      <c r="W16" s="14" t="n">
        <f aca="false">IF(K16="定額",ROUND((I16-M16)/J16/12,0),ROUND(I16*L16/12,0))</f>
        <v>25</v>
      </c>
      <c r="X16" s="14" t="n">
        <f aca="false">IF(K16="定額",ROUND((I16-M16)/J16/12,0),ROUND(I16*L16/12,0))</f>
        <v>25</v>
      </c>
      <c r="Y16" s="14" t="n">
        <f aca="false">IF(K16="定額",ROUND((I16-M16)/J16/12,0),ROUND(I16*L16/12,0))</f>
        <v>25</v>
      </c>
      <c r="Z16" s="14" t="n">
        <f aca="false">IF(K16="定額",ROUND((I16-M16)/J16/12,0),ROUND(I16*L16/12,0))</f>
        <v>25</v>
      </c>
      <c r="AA16" s="14" t="n">
        <f aca="false">IF(K16="定額",ROUND((I16-M16)/J16/12,0),ROUND(I16*L16/12,0))</f>
        <v>25</v>
      </c>
      <c r="AB16" s="15" t="n">
        <f aca="false">SUM(P16:AA16)</f>
        <v>300</v>
      </c>
      <c r="AC16" s="15" t="n">
        <f aca="false">O16+AB16</f>
        <v>1500</v>
      </c>
      <c r="AD16" s="15" t="n">
        <f aca="false">I16-AC16</f>
        <v>8008</v>
      </c>
      <c r="AE16" s="10" t="s">
        <v>167</v>
      </c>
      <c r="AF16" s="10" t="s">
        <v>168</v>
      </c>
      <c r="AG16" s="9" t="s">
        <v>169</v>
      </c>
      <c r="AH16" s="10" t="s">
        <v>170</v>
      </c>
      <c r="AI16" s="7" t="s">
        <v>206</v>
      </c>
      <c r="AJ16" s="10" t="s">
        <v>138</v>
      </c>
      <c r="AK16" s="7" t="s">
        <v>139</v>
      </c>
      <c r="AL16" s="8" t="s">
        <v>87</v>
      </c>
      <c r="AM16" s="7" t="s">
        <v>90</v>
      </c>
      <c r="AN16" s="11"/>
      <c r="AO16" s="11" t="n">
        <v>45730</v>
      </c>
      <c r="AP16" s="11" t="n">
        <v>46214</v>
      </c>
      <c r="AQ16" s="8" t="s">
        <v>87</v>
      </c>
      <c r="AR16" s="12"/>
      <c r="AS16" s="12"/>
      <c r="AT16" s="12"/>
      <c r="AU16" s="7" t="s">
        <v>207</v>
      </c>
      <c r="AV16" s="7" t="s">
        <v>208</v>
      </c>
      <c r="AW16" s="9" t="s">
        <v>90</v>
      </c>
      <c r="AX16" s="8" t="s">
        <v>108</v>
      </c>
      <c r="AY16" s="8" t="s">
        <v>92</v>
      </c>
      <c r="AZ16" s="11" t="n">
        <v>45893</v>
      </c>
      <c r="BA16" s="7" t="s">
        <v>90</v>
      </c>
      <c r="BB16" s="8" t="s">
        <v>86</v>
      </c>
      <c r="BC16" s="11" t="n">
        <v>45828</v>
      </c>
      <c r="BD16" s="11"/>
      <c r="BE16" s="12"/>
      <c r="BF16" s="11"/>
      <c r="BG16" s="12"/>
      <c r="BH16" s="12"/>
      <c r="BI16" s="10" t="s">
        <v>110</v>
      </c>
    </row>
    <row r="17" customFormat="false" ht="15" hidden="false" customHeight="true" outlineLevel="0" collapsed="false">
      <c r="A17" s="16" t="s">
        <v>209</v>
      </c>
      <c r="B17" s="16" t="s">
        <v>112</v>
      </c>
      <c r="C17" s="18" t="s">
        <v>75</v>
      </c>
      <c r="D17" s="19" t="s">
        <v>76</v>
      </c>
      <c r="E17" s="17" t="s">
        <v>75</v>
      </c>
      <c r="F17" s="18" t="s">
        <v>77</v>
      </c>
      <c r="G17" s="20" t="n">
        <v>44272</v>
      </c>
      <c r="H17" s="20" t="n">
        <v>44311</v>
      </c>
      <c r="I17" s="21" t="n">
        <v>4502</v>
      </c>
      <c r="J17" s="19" t="n">
        <v>5</v>
      </c>
      <c r="K17" s="18" t="s">
        <v>78</v>
      </c>
      <c r="L17" s="22" t="n">
        <v>0.2</v>
      </c>
      <c r="M17" s="21" t="n">
        <v>1</v>
      </c>
      <c r="N17" s="21" t="n">
        <v>961</v>
      </c>
      <c r="O17" s="21" t="n">
        <v>3541</v>
      </c>
      <c r="P17" s="23" t="n">
        <f aca="false">IF(K17="定額",ROUND((I17-M17)/J17/12,0),ROUND(I17*L17/12,0))</f>
        <v>75</v>
      </c>
      <c r="Q17" s="23" t="n">
        <f aca="false">IF(K17="定額",ROUND((I17-M17)/J17/12,0),ROUND(I17*L17/12,0))</f>
        <v>75</v>
      </c>
      <c r="R17" s="23" t="n">
        <f aca="false">IF(K17="定額",ROUND((I17-M17)/J17/12,0),ROUND(I17*L17/12,0))</f>
        <v>75</v>
      </c>
      <c r="S17" s="23" t="n">
        <f aca="false">IF(K17="定額",ROUND((I17-M17)/J17/12,0),ROUND(I17*L17/12,0))</f>
        <v>75</v>
      </c>
      <c r="T17" s="23" t="n">
        <f aca="false">IF(K17="定額",ROUND((I17-M17)/J17/12,0),ROUND(I17*L17/12,0))</f>
        <v>75</v>
      </c>
      <c r="U17" s="23" t="n">
        <f aca="false">IF(K17="定額",ROUND((I17-M17)/J17/12,0),ROUND(I17*L17/12,0))</f>
        <v>75</v>
      </c>
      <c r="V17" s="23" t="n">
        <f aca="false">IF(K17="定額",ROUND((I17-M17)/J17/12,0),ROUND(I17*L17/12,0))</f>
        <v>75</v>
      </c>
      <c r="W17" s="23" t="n">
        <f aca="false">IF(K17="定額",ROUND((I17-M17)/J17/12,0),ROUND(I17*L17/12,0))</f>
        <v>75</v>
      </c>
      <c r="X17" s="23" t="n">
        <f aca="false">IF(K17="定額",ROUND((I17-M17)/J17/12,0),ROUND(I17*L17/12,0))</f>
        <v>75</v>
      </c>
      <c r="Y17" s="23" t="n">
        <f aca="false">IF(K17="定額",ROUND((I17-M17)/J17/12,0),ROUND(I17*L17/12,0))</f>
        <v>75</v>
      </c>
      <c r="Z17" s="23" t="n">
        <f aca="false">IF(K17="定額",ROUND((I17-M17)/J17/12,0),ROUND(I17*L17/12,0))</f>
        <v>75</v>
      </c>
      <c r="AA17" s="23" t="n">
        <f aca="false">IF(K17="定額",ROUND((I17-M17)/J17/12,0),ROUND(I17*L17/12,0))</f>
        <v>75</v>
      </c>
      <c r="AB17" s="24" t="n">
        <f aca="false">SUM(P17:AA17)</f>
        <v>900</v>
      </c>
      <c r="AC17" s="24" t="n">
        <f aca="false">O17+AB17</f>
        <v>4441</v>
      </c>
      <c r="AD17" s="24" t="n">
        <f aca="false">I17-AC17</f>
        <v>61</v>
      </c>
      <c r="AE17" s="17" t="s">
        <v>154</v>
      </c>
      <c r="AF17" s="17" t="s">
        <v>155</v>
      </c>
      <c r="AG17" s="19" t="s">
        <v>156</v>
      </c>
      <c r="AH17" s="17" t="s">
        <v>157</v>
      </c>
      <c r="AI17" s="16" t="s">
        <v>210</v>
      </c>
      <c r="AJ17" s="17" t="s">
        <v>188</v>
      </c>
      <c r="AK17" s="16" t="s">
        <v>189</v>
      </c>
      <c r="AL17" s="18" t="s">
        <v>87</v>
      </c>
      <c r="AM17" s="16" t="s">
        <v>90</v>
      </c>
      <c r="AN17" s="20"/>
      <c r="AO17" s="20" t="n">
        <v>45737</v>
      </c>
      <c r="AP17" s="20" t="n">
        <v>46065</v>
      </c>
      <c r="AQ17" s="18" t="s">
        <v>87</v>
      </c>
      <c r="AR17" s="21"/>
      <c r="AS17" s="21"/>
      <c r="AT17" s="21"/>
      <c r="AU17" s="16" t="s">
        <v>211</v>
      </c>
      <c r="AV17" s="16" t="s">
        <v>212</v>
      </c>
      <c r="AW17" s="19" t="s">
        <v>90</v>
      </c>
      <c r="AX17" s="18" t="s">
        <v>116</v>
      </c>
      <c r="AY17" s="18" t="s">
        <v>180</v>
      </c>
      <c r="AZ17" s="20" t="n">
        <v>45873</v>
      </c>
      <c r="BA17" s="16" t="s">
        <v>143</v>
      </c>
      <c r="BB17" s="18" t="s">
        <v>87</v>
      </c>
      <c r="BC17" s="20"/>
      <c r="BD17" s="20" t="n">
        <v>45905</v>
      </c>
      <c r="BE17" s="21"/>
      <c r="BF17" s="20"/>
      <c r="BG17" s="21"/>
      <c r="BH17" s="21"/>
      <c r="BI17" s="17" t="s">
        <v>149</v>
      </c>
    </row>
    <row r="18" customFormat="false" ht="15" hidden="false" customHeight="true" outlineLevel="0" collapsed="false">
      <c r="A18" s="7" t="s">
        <v>213</v>
      </c>
      <c r="B18" s="10" t="s">
        <v>214</v>
      </c>
      <c r="C18" s="8" t="s">
        <v>152</v>
      </c>
      <c r="D18" s="9" t="s">
        <v>153</v>
      </c>
      <c r="E18" s="10" t="s">
        <v>152</v>
      </c>
      <c r="F18" s="8" t="s">
        <v>136</v>
      </c>
      <c r="G18" s="11" t="n">
        <v>45454</v>
      </c>
      <c r="H18" s="11" t="n">
        <v>45470</v>
      </c>
      <c r="I18" s="12" t="n">
        <v>13352</v>
      </c>
      <c r="J18" s="9" t="n">
        <v>30</v>
      </c>
      <c r="K18" s="8" t="s">
        <v>78</v>
      </c>
      <c r="L18" s="13" t="n">
        <v>0.034</v>
      </c>
      <c r="M18" s="12" t="n">
        <v>667</v>
      </c>
      <c r="N18" s="12" t="n">
        <v>13031</v>
      </c>
      <c r="O18" s="12" t="n">
        <v>321</v>
      </c>
      <c r="P18" s="14" t="n">
        <f aca="false">IF(K18="定額",ROUND((I18-M18)/J18/12,0),ROUND(I18*L18/12,0))</f>
        <v>35</v>
      </c>
      <c r="Q18" s="14" t="n">
        <f aca="false">IF(K18="定額",ROUND((I18-M18)/J18/12,0),ROUND(I18*L18/12,0))</f>
        <v>35</v>
      </c>
      <c r="R18" s="14" t="n">
        <f aca="false">IF(K18="定額",ROUND((I18-M18)/J18/12,0),ROUND(I18*L18/12,0))</f>
        <v>35</v>
      </c>
      <c r="S18" s="14" t="n">
        <f aca="false">IF(K18="定額",ROUND((I18-M18)/J18/12,0),ROUND(I18*L18/12,0))</f>
        <v>35</v>
      </c>
      <c r="T18" s="14" t="n">
        <f aca="false">IF(K18="定額",ROUND((I18-M18)/J18/12,0),ROUND(I18*L18/12,0))</f>
        <v>35</v>
      </c>
      <c r="U18" s="14" t="n">
        <f aca="false">IF(K18="定額",ROUND((I18-M18)/J18/12,0),ROUND(I18*L18/12,0))</f>
        <v>35</v>
      </c>
      <c r="V18" s="14" t="n">
        <f aca="false">IF(K18="定額",ROUND((I18-M18)/J18/12,0),ROUND(I18*L18/12,0))</f>
        <v>35</v>
      </c>
      <c r="W18" s="14" t="n">
        <f aca="false">IF(K18="定額",ROUND((I18-M18)/J18/12,0),ROUND(I18*L18/12,0))</f>
        <v>35</v>
      </c>
      <c r="X18" s="14" t="n">
        <f aca="false">IF(K18="定額",ROUND((I18-M18)/J18/12,0),ROUND(I18*L18/12,0))</f>
        <v>35</v>
      </c>
      <c r="Y18" s="14" t="n">
        <f aca="false">IF(K18="定額",ROUND((I18-M18)/J18/12,0),ROUND(I18*L18/12,0))</f>
        <v>35</v>
      </c>
      <c r="Z18" s="14" t="n">
        <f aca="false">IF(K18="定額",ROUND((I18-M18)/J18/12,0),ROUND(I18*L18/12,0))</f>
        <v>35</v>
      </c>
      <c r="AA18" s="14" t="n">
        <f aca="false">IF(K18="定額",ROUND((I18-M18)/J18/12,0),ROUND(I18*L18/12,0))</f>
        <v>35</v>
      </c>
      <c r="AB18" s="15" t="n">
        <f aca="false">SUM(P18:AA18)</f>
        <v>420</v>
      </c>
      <c r="AC18" s="15" t="n">
        <f aca="false">O18+AB18</f>
        <v>741</v>
      </c>
      <c r="AD18" s="15" t="n">
        <f aca="false">I18-AC18</f>
        <v>12611</v>
      </c>
      <c r="AE18" s="10" t="s">
        <v>154</v>
      </c>
      <c r="AF18" s="10" t="s">
        <v>155</v>
      </c>
      <c r="AG18" s="9" t="s">
        <v>156</v>
      </c>
      <c r="AH18" s="10" t="s">
        <v>157</v>
      </c>
      <c r="AI18" s="7" t="s">
        <v>215</v>
      </c>
      <c r="AJ18" s="10" t="s">
        <v>138</v>
      </c>
      <c r="AK18" s="7" t="s">
        <v>139</v>
      </c>
      <c r="AL18" s="8" t="s">
        <v>87</v>
      </c>
      <c r="AM18" s="7" t="s">
        <v>90</v>
      </c>
      <c r="AN18" s="11"/>
      <c r="AO18" s="11" t="n">
        <v>45810</v>
      </c>
      <c r="AP18" s="11" t="n">
        <v>46217</v>
      </c>
      <c r="AQ18" s="8" t="s">
        <v>87</v>
      </c>
      <c r="AR18" s="12"/>
      <c r="AS18" s="12"/>
      <c r="AT18" s="12"/>
      <c r="AU18" s="7" t="s">
        <v>216</v>
      </c>
      <c r="AV18" s="7" t="s">
        <v>217</v>
      </c>
      <c r="AW18" s="9" t="s">
        <v>142</v>
      </c>
      <c r="AX18" s="8" t="s">
        <v>116</v>
      </c>
      <c r="AY18" s="8" t="s">
        <v>218</v>
      </c>
      <c r="AZ18" s="11" t="n">
        <v>45897</v>
      </c>
      <c r="BA18" s="10" t="s">
        <v>163</v>
      </c>
      <c r="BB18" s="8" t="s">
        <v>87</v>
      </c>
      <c r="BC18" s="11"/>
      <c r="BD18" s="11"/>
      <c r="BE18" s="12" t="n">
        <v>9315</v>
      </c>
      <c r="BF18" s="11" t="n">
        <v>45791</v>
      </c>
      <c r="BG18" s="12" t="n">
        <v>9315</v>
      </c>
      <c r="BH18" s="15" t="n">
        <f aca="false">BG18-AD18</f>
        <v>-3296</v>
      </c>
      <c r="BI18" s="10" t="s">
        <v>164</v>
      </c>
    </row>
    <row r="19" customFormat="false" ht="15" hidden="false" customHeight="true" outlineLevel="0" collapsed="false">
      <c r="A19" s="16" t="s">
        <v>219</v>
      </c>
      <c r="B19" s="17" t="s">
        <v>220</v>
      </c>
      <c r="C19" s="18" t="s">
        <v>221</v>
      </c>
      <c r="D19" s="19" t="s">
        <v>222</v>
      </c>
      <c r="E19" s="17" t="s">
        <v>221</v>
      </c>
      <c r="F19" s="19" t="s">
        <v>90</v>
      </c>
      <c r="G19" s="20" t="n">
        <v>44207</v>
      </c>
      <c r="H19" s="20" t="n">
        <v>44231</v>
      </c>
      <c r="I19" s="21" t="n">
        <v>1804</v>
      </c>
      <c r="J19" s="19" t="n">
        <v>10</v>
      </c>
      <c r="K19" s="18" t="s">
        <v>123</v>
      </c>
      <c r="L19" s="22" t="n">
        <v>0.2</v>
      </c>
      <c r="M19" s="21" t="n">
        <v>1</v>
      </c>
      <c r="N19" s="21" t="n">
        <v>306</v>
      </c>
      <c r="O19" s="21" t="n">
        <v>1498</v>
      </c>
      <c r="P19" s="23" t="n">
        <f aca="false">IF(K19="定額",ROUND((I19-M19)/J19/12,0),ROUND(I19*L19/12,0))</f>
        <v>30</v>
      </c>
      <c r="Q19" s="23" t="n">
        <f aca="false">IF(K19="定額",ROUND((I19-M19)/J19/12,0),ROUND(I19*L19/12,0))</f>
        <v>30</v>
      </c>
      <c r="R19" s="23" t="n">
        <f aca="false">IF(K19="定額",ROUND((I19-M19)/J19/12,0),ROUND(I19*L19/12,0))</f>
        <v>30</v>
      </c>
      <c r="S19" s="23" t="n">
        <f aca="false">IF(K19="定額",ROUND((I19-M19)/J19/12,0),ROUND(I19*L19/12,0))</f>
        <v>30</v>
      </c>
      <c r="T19" s="23" t="n">
        <f aca="false">IF(K19="定額",ROUND((I19-M19)/J19/12,0),ROUND(I19*L19/12,0))</f>
        <v>30</v>
      </c>
      <c r="U19" s="23" t="n">
        <f aca="false">IF(K19="定額",ROUND((I19-M19)/J19/12,0),ROUND(I19*L19/12,0))</f>
        <v>30</v>
      </c>
      <c r="V19" s="23" t="n">
        <f aca="false">IF(K19="定額",ROUND((I19-M19)/J19/12,0),ROUND(I19*L19/12,0))</f>
        <v>30</v>
      </c>
      <c r="W19" s="23" t="n">
        <f aca="false">IF(K19="定額",ROUND((I19-M19)/J19/12,0),ROUND(I19*L19/12,0))</f>
        <v>30</v>
      </c>
      <c r="X19" s="23" t="n">
        <f aca="false">IF(K19="定額",ROUND((I19-M19)/J19/12,0),ROUND(I19*L19/12,0))</f>
        <v>30</v>
      </c>
      <c r="Y19" s="23" t="n">
        <f aca="false">IF(K19="定額",ROUND((I19-M19)/J19/12,0),ROUND(I19*L19/12,0))</f>
        <v>30</v>
      </c>
      <c r="Z19" s="23" t="n">
        <f aca="false">IF(K19="定額",ROUND((I19-M19)/J19/12,0),ROUND(I19*L19/12,0))</f>
        <v>30</v>
      </c>
      <c r="AA19" s="23" t="n">
        <f aca="false">IF(K19="定額",ROUND((I19-M19)/J19/12,0),ROUND(I19*L19/12,0))</f>
        <v>30</v>
      </c>
      <c r="AB19" s="24" t="n">
        <f aca="false">SUM(P19:AA19)</f>
        <v>360</v>
      </c>
      <c r="AC19" s="24" t="n">
        <f aca="false">O19+AB19</f>
        <v>1858</v>
      </c>
      <c r="AD19" s="24" t="n">
        <f aca="false">I19-AC19</f>
        <v>-54</v>
      </c>
      <c r="AE19" s="17" t="s">
        <v>99</v>
      </c>
      <c r="AF19" s="17" t="s">
        <v>100</v>
      </c>
      <c r="AG19" s="19" t="s">
        <v>101</v>
      </c>
      <c r="AH19" s="16" t="s">
        <v>102</v>
      </c>
      <c r="AI19" s="16" t="s">
        <v>223</v>
      </c>
      <c r="AJ19" s="16" t="s">
        <v>129</v>
      </c>
      <c r="AK19" s="16" t="s">
        <v>130</v>
      </c>
      <c r="AL19" s="18" t="s">
        <v>87</v>
      </c>
      <c r="AM19" s="16" t="s">
        <v>90</v>
      </c>
      <c r="AN19" s="20"/>
      <c r="AO19" s="20" t="n">
        <v>45842</v>
      </c>
      <c r="AP19" s="20" t="n">
        <v>46045</v>
      </c>
      <c r="AQ19" s="18" t="s">
        <v>86</v>
      </c>
      <c r="AR19" s="21" t="n">
        <v>148</v>
      </c>
      <c r="AS19" s="21" t="n">
        <v>158</v>
      </c>
      <c r="AT19" s="21" t="n">
        <v>148</v>
      </c>
      <c r="AU19" s="16" t="s">
        <v>224</v>
      </c>
      <c r="AV19" s="16" t="s">
        <v>225</v>
      </c>
      <c r="AW19" s="19" t="s">
        <v>90</v>
      </c>
      <c r="AX19" s="18" t="s">
        <v>116</v>
      </c>
      <c r="AY19" s="18" t="s">
        <v>92</v>
      </c>
      <c r="AZ19" s="20"/>
      <c r="BA19" s="17" t="s">
        <v>93</v>
      </c>
      <c r="BB19" s="18" t="s">
        <v>87</v>
      </c>
      <c r="BC19" s="20"/>
      <c r="BD19" s="20"/>
      <c r="BE19" s="21"/>
      <c r="BF19" s="20"/>
      <c r="BG19" s="21"/>
      <c r="BH19" s="21"/>
      <c r="BI19" s="17" t="s">
        <v>149</v>
      </c>
    </row>
    <row r="20" customFormat="false" ht="15" hidden="false" customHeight="true" outlineLevel="0" collapsed="false">
      <c r="A20" s="7" t="s">
        <v>226</v>
      </c>
      <c r="B20" s="10" t="s">
        <v>227</v>
      </c>
      <c r="C20" s="8" t="s">
        <v>121</v>
      </c>
      <c r="D20" s="9" t="s">
        <v>122</v>
      </c>
      <c r="E20" s="10" t="s">
        <v>121</v>
      </c>
      <c r="F20" s="8" t="s">
        <v>98</v>
      </c>
      <c r="G20" s="11" t="n">
        <v>43663</v>
      </c>
      <c r="H20" s="11" t="n">
        <v>43686</v>
      </c>
      <c r="I20" s="12" t="n">
        <v>1962</v>
      </c>
      <c r="J20" s="9" t="n">
        <v>6</v>
      </c>
      <c r="K20" s="8" t="s">
        <v>123</v>
      </c>
      <c r="L20" s="13" t="n">
        <v>0.333</v>
      </c>
      <c r="M20" s="12" t="n">
        <v>1</v>
      </c>
      <c r="N20" s="12" t="n">
        <v>1</v>
      </c>
      <c r="O20" s="12" t="n">
        <v>1961</v>
      </c>
      <c r="P20" s="14" t="n">
        <f aca="false">IF(K20="定額",ROUND((I20-M20)/J20/12,0),ROUND(I20*L20/12,0))</f>
        <v>54</v>
      </c>
      <c r="Q20" s="14" t="n">
        <f aca="false">IF(K20="定額",ROUND((I20-M20)/J20/12,0),ROUND(I20*L20/12,0))</f>
        <v>54</v>
      </c>
      <c r="R20" s="14" t="n">
        <f aca="false">IF(K20="定額",ROUND((I20-M20)/J20/12,0),ROUND(I20*L20/12,0))</f>
        <v>54</v>
      </c>
      <c r="S20" s="14" t="n">
        <f aca="false">IF(K20="定額",ROUND((I20-M20)/J20/12,0),ROUND(I20*L20/12,0))</f>
        <v>54</v>
      </c>
      <c r="T20" s="14" t="n">
        <f aca="false">IF(K20="定額",ROUND((I20-M20)/J20/12,0),ROUND(I20*L20/12,0))</f>
        <v>54</v>
      </c>
      <c r="U20" s="14" t="n">
        <f aca="false">IF(K20="定額",ROUND((I20-M20)/J20/12,0),ROUND(I20*L20/12,0))</f>
        <v>54</v>
      </c>
      <c r="V20" s="14" t="n">
        <f aca="false">IF(K20="定額",ROUND((I20-M20)/J20/12,0),ROUND(I20*L20/12,0))</f>
        <v>54</v>
      </c>
      <c r="W20" s="14" t="n">
        <f aca="false">IF(K20="定額",ROUND((I20-M20)/J20/12,0),ROUND(I20*L20/12,0))</f>
        <v>54</v>
      </c>
      <c r="X20" s="14" t="n">
        <f aca="false">IF(K20="定額",ROUND((I20-M20)/J20/12,0),ROUND(I20*L20/12,0))</f>
        <v>54</v>
      </c>
      <c r="Y20" s="14" t="n">
        <f aca="false">IF(K20="定額",ROUND((I20-M20)/J20/12,0),ROUND(I20*L20/12,0))</f>
        <v>54</v>
      </c>
      <c r="Z20" s="14" t="n">
        <f aca="false">IF(K20="定額",ROUND((I20-M20)/J20/12,0),ROUND(I20*L20/12,0))</f>
        <v>54</v>
      </c>
      <c r="AA20" s="14" t="n">
        <f aca="false">IF(K20="定額",ROUND((I20-M20)/J20/12,0),ROUND(I20*L20/12,0))</f>
        <v>54</v>
      </c>
      <c r="AB20" s="15" t="n">
        <f aca="false">SUM(P20:AA20)</f>
        <v>648</v>
      </c>
      <c r="AC20" s="15" t="n">
        <f aca="false">O20+AB20</f>
        <v>2609</v>
      </c>
      <c r="AD20" s="15" t="n">
        <f aca="false">I20-AC20</f>
        <v>-647</v>
      </c>
      <c r="AE20" s="10" t="s">
        <v>154</v>
      </c>
      <c r="AF20" s="10" t="s">
        <v>155</v>
      </c>
      <c r="AG20" s="9" t="s">
        <v>156</v>
      </c>
      <c r="AH20" s="10" t="s">
        <v>157</v>
      </c>
      <c r="AI20" s="7" t="s">
        <v>228</v>
      </c>
      <c r="AJ20" s="7" t="s">
        <v>84</v>
      </c>
      <c r="AK20" s="7" t="s">
        <v>85</v>
      </c>
      <c r="AL20" s="8" t="s">
        <v>87</v>
      </c>
      <c r="AM20" s="7" t="s">
        <v>90</v>
      </c>
      <c r="AN20" s="11"/>
      <c r="AO20" s="11" t="n">
        <v>45871</v>
      </c>
      <c r="AP20" s="11" t="n">
        <v>46128</v>
      </c>
      <c r="AQ20" s="8" t="s">
        <v>87</v>
      </c>
      <c r="AR20" s="12"/>
      <c r="AS20" s="12"/>
      <c r="AT20" s="12"/>
      <c r="AU20" s="7" t="s">
        <v>229</v>
      </c>
      <c r="AV20" s="7" t="s">
        <v>230</v>
      </c>
      <c r="AW20" s="9" t="s">
        <v>90</v>
      </c>
      <c r="AX20" s="8" t="s">
        <v>116</v>
      </c>
      <c r="AY20" s="8" t="s">
        <v>92</v>
      </c>
      <c r="AZ20" s="11"/>
      <c r="BA20" s="7" t="s">
        <v>143</v>
      </c>
      <c r="BB20" s="8" t="s">
        <v>87</v>
      </c>
      <c r="BC20" s="11"/>
      <c r="BD20" s="11"/>
      <c r="BE20" s="12"/>
      <c r="BF20" s="11"/>
      <c r="BG20" s="12"/>
      <c r="BH20" s="12"/>
      <c r="BI20" s="10" t="s">
        <v>149</v>
      </c>
    </row>
    <row r="21" customFormat="false" ht="15" hidden="false" customHeight="true" outlineLevel="0" collapsed="false">
      <c r="A21" s="16" t="s">
        <v>231</v>
      </c>
      <c r="B21" s="16" t="s">
        <v>145</v>
      </c>
      <c r="C21" s="18" t="s">
        <v>75</v>
      </c>
      <c r="D21" s="19" t="s">
        <v>76</v>
      </c>
      <c r="E21" s="17" t="s">
        <v>75</v>
      </c>
      <c r="F21" s="18" t="s">
        <v>98</v>
      </c>
      <c r="G21" s="20" t="n">
        <v>44957</v>
      </c>
      <c r="H21" s="20" t="n">
        <v>44968</v>
      </c>
      <c r="I21" s="21" t="n">
        <v>214582</v>
      </c>
      <c r="J21" s="19" t="n">
        <v>5</v>
      </c>
      <c r="K21" s="18" t="s">
        <v>78</v>
      </c>
      <c r="L21" s="22" t="n">
        <v>0.2</v>
      </c>
      <c r="M21" s="21" t="n">
        <v>1</v>
      </c>
      <c r="N21" s="21" t="n">
        <v>122934</v>
      </c>
      <c r="O21" s="21" t="n">
        <v>91648</v>
      </c>
      <c r="P21" s="23" t="n">
        <f aca="false">IF(K21="定額",ROUND((I21-M21)/J21/12,0),ROUND(I21*L21/12,0))</f>
        <v>3576</v>
      </c>
      <c r="Q21" s="23" t="n">
        <f aca="false">IF(K21="定額",ROUND((I21-M21)/J21/12,0),ROUND(I21*L21/12,0))</f>
        <v>3576</v>
      </c>
      <c r="R21" s="23" t="n">
        <f aca="false">IF(K21="定額",ROUND((I21-M21)/J21/12,0),ROUND(I21*L21/12,0))</f>
        <v>3576</v>
      </c>
      <c r="S21" s="23" t="n">
        <f aca="false">IF(K21="定額",ROUND((I21-M21)/J21/12,0),ROUND(I21*L21/12,0))</f>
        <v>3576</v>
      </c>
      <c r="T21" s="23" t="n">
        <f aca="false">IF(K21="定額",ROUND((I21-M21)/J21/12,0),ROUND(I21*L21/12,0))</f>
        <v>3576</v>
      </c>
      <c r="U21" s="23" t="n">
        <f aca="false">IF(K21="定額",ROUND((I21-M21)/J21/12,0),ROUND(I21*L21/12,0))</f>
        <v>3576</v>
      </c>
      <c r="V21" s="23" t="n">
        <f aca="false">IF(K21="定額",ROUND((I21-M21)/J21/12,0),ROUND(I21*L21/12,0))</f>
        <v>3576</v>
      </c>
      <c r="W21" s="23" t="n">
        <f aca="false">IF(K21="定額",ROUND((I21-M21)/J21/12,0),ROUND(I21*L21/12,0))</f>
        <v>3576</v>
      </c>
      <c r="X21" s="23" t="n">
        <f aca="false">IF(K21="定額",ROUND((I21-M21)/J21/12,0),ROUND(I21*L21/12,0))</f>
        <v>3576</v>
      </c>
      <c r="Y21" s="23" t="n">
        <f aca="false">IF(K21="定額",ROUND((I21-M21)/J21/12,0),ROUND(I21*L21/12,0))</f>
        <v>3576</v>
      </c>
      <c r="Z21" s="23" t="n">
        <f aca="false">IF(K21="定額",ROUND((I21-M21)/J21/12,0),ROUND(I21*L21/12,0))</f>
        <v>3576</v>
      </c>
      <c r="AA21" s="23" t="n">
        <f aca="false">IF(K21="定額",ROUND((I21-M21)/J21/12,0),ROUND(I21*L21/12,0))</f>
        <v>3576</v>
      </c>
      <c r="AB21" s="24" t="n">
        <f aca="false">SUM(P21:AA21)</f>
        <v>42912</v>
      </c>
      <c r="AC21" s="24" t="n">
        <f aca="false">O21+AB21</f>
        <v>134560</v>
      </c>
      <c r="AD21" s="24" t="n">
        <f aca="false">I21-AC21</f>
        <v>80022</v>
      </c>
      <c r="AE21" s="17" t="s">
        <v>167</v>
      </c>
      <c r="AF21" s="17" t="s">
        <v>168</v>
      </c>
      <c r="AG21" s="19" t="s">
        <v>169</v>
      </c>
      <c r="AH21" s="17" t="s">
        <v>170</v>
      </c>
      <c r="AI21" s="16" t="s">
        <v>232</v>
      </c>
      <c r="AJ21" s="16" t="s">
        <v>104</v>
      </c>
      <c r="AK21" s="16" t="s">
        <v>105</v>
      </c>
      <c r="AL21" s="18" t="s">
        <v>86</v>
      </c>
      <c r="AM21" s="16" t="s">
        <v>104</v>
      </c>
      <c r="AN21" s="20" t="n">
        <v>47512</v>
      </c>
      <c r="AO21" s="20" t="n">
        <v>45825</v>
      </c>
      <c r="AP21" s="20" t="n">
        <v>46214</v>
      </c>
      <c r="AQ21" s="18" t="s">
        <v>87</v>
      </c>
      <c r="AR21" s="21"/>
      <c r="AS21" s="21"/>
      <c r="AT21" s="21"/>
      <c r="AU21" s="16" t="s">
        <v>233</v>
      </c>
      <c r="AV21" s="16" t="s">
        <v>234</v>
      </c>
      <c r="AW21" s="19" t="s">
        <v>142</v>
      </c>
      <c r="AX21" s="18" t="s">
        <v>91</v>
      </c>
      <c r="AY21" s="18" t="s">
        <v>92</v>
      </c>
      <c r="AZ21" s="20" t="n">
        <v>45889</v>
      </c>
      <c r="BA21" s="16" t="s">
        <v>90</v>
      </c>
      <c r="BB21" s="18" t="s">
        <v>87</v>
      </c>
      <c r="BC21" s="20"/>
      <c r="BD21" s="20"/>
      <c r="BE21" s="21"/>
      <c r="BF21" s="20"/>
      <c r="BG21" s="21"/>
      <c r="BH21" s="21"/>
      <c r="BI21" s="17" t="s">
        <v>149</v>
      </c>
    </row>
    <row r="22" customFormat="false" ht="15" hidden="false" customHeight="true" outlineLevel="0" collapsed="false">
      <c r="A22" s="7" t="s">
        <v>235</v>
      </c>
      <c r="B22" s="10" t="s">
        <v>236</v>
      </c>
      <c r="C22" s="8" t="s">
        <v>152</v>
      </c>
      <c r="D22" s="9" t="s">
        <v>153</v>
      </c>
      <c r="E22" s="10" t="s">
        <v>152</v>
      </c>
      <c r="F22" s="8" t="s">
        <v>136</v>
      </c>
      <c r="G22" s="11" t="n">
        <v>44051</v>
      </c>
      <c r="H22" s="11" t="n">
        <v>44085</v>
      </c>
      <c r="I22" s="12" t="n">
        <v>35473</v>
      </c>
      <c r="J22" s="9" t="n">
        <v>30</v>
      </c>
      <c r="K22" s="8" t="s">
        <v>78</v>
      </c>
      <c r="L22" s="13" t="n">
        <v>0.034</v>
      </c>
      <c r="M22" s="12" t="n">
        <v>1773</v>
      </c>
      <c r="N22" s="12" t="n">
        <v>30359</v>
      </c>
      <c r="O22" s="12" t="n">
        <v>5114</v>
      </c>
      <c r="P22" s="14" t="n">
        <f aca="false">IF(K22="定額",ROUND((I22-M22)/J22/12,0),ROUND(I22*L22/12,0))</f>
        <v>94</v>
      </c>
      <c r="Q22" s="14" t="n">
        <f aca="false">IF(K22="定額",ROUND((I22-M22)/J22/12,0),ROUND(I22*L22/12,0))</f>
        <v>94</v>
      </c>
      <c r="R22" s="14" t="n">
        <f aca="false">IF(K22="定額",ROUND((I22-M22)/J22/12,0),ROUND(I22*L22/12,0))</f>
        <v>94</v>
      </c>
      <c r="S22" s="14" t="n">
        <f aca="false">IF(K22="定額",ROUND((I22-M22)/J22/12,0),ROUND(I22*L22/12,0))</f>
        <v>94</v>
      </c>
      <c r="T22" s="14" t="n">
        <f aca="false">IF(K22="定額",ROUND((I22-M22)/J22/12,0),ROUND(I22*L22/12,0))</f>
        <v>94</v>
      </c>
      <c r="U22" s="14" t="n">
        <f aca="false">IF(K22="定額",ROUND((I22-M22)/J22/12,0),ROUND(I22*L22/12,0))</f>
        <v>94</v>
      </c>
      <c r="V22" s="14" t="n">
        <f aca="false">IF(K22="定額",ROUND((I22-M22)/J22/12,0),ROUND(I22*L22/12,0))</f>
        <v>94</v>
      </c>
      <c r="W22" s="14" t="n">
        <f aca="false">IF(K22="定額",ROUND((I22-M22)/J22/12,0),ROUND(I22*L22/12,0))</f>
        <v>94</v>
      </c>
      <c r="X22" s="14" t="n">
        <f aca="false">IF(K22="定額",ROUND((I22-M22)/J22/12,0),ROUND(I22*L22/12,0))</f>
        <v>94</v>
      </c>
      <c r="Y22" s="14" t="n">
        <f aca="false">IF(K22="定額",ROUND((I22-M22)/J22/12,0),ROUND(I22*L22/12,0))</f>
        <v>94</v>
      </c>
      <c r="Z22" s="14" t="n">
        <f aca="false">IF(K22="定額",ROUND((I22-M22)/J22/12,0),ROUND(I22*L22/12,0))</f>
        <v>94</v>
      </c>
      <c r="AA22" s="14" t="n">
        <f aca="false">IF(K22="定額",ROUND((I22-M22)/J22/12,0),ROUND(I22*L22/12,0))</f>
        <v>94</v>
      </c>
      <c r="AB22" s="15" t="n">
        <f aca="false">SUM(P22:AA22)</f>
        <v>1128</v>
      </c>
      <c r="AC22" s="15" t="n">
        <f aca="false">O22+AB22</f>
        <v>6242</v>
      </c>
      <c r="AD22" s="15" t="n">
        <f aca="false">I22-AC22</f>
        <v>29231</v>
      </c>
      <c r="AE22" s="10" t="s">
        <v>124</v>
      </c>
      <c r="AF22" s="10" t="s">
        <v>125</v>
      </c>
      <c r="AG22" s="9" t="s">
        <v>126</v>
      </c>
      <c r="AH22" s="10" t="s">
        <v>127</v>
      </c>
      <c r="AI22" s="7" t="s">
        <v>237</v>
      </c>
      <c r="AJ22" s="7" t="s">
        <v>104</v>
      </c>
      <c r="AK22" s="7" t="s">
        <v>105</v>
      </c>
      <c r="AL22" s="8" t="s">
        <v>86</v>
      </c>
      <c r="AM22" s="7" t="s">
        <v>104</v>
      </c>
      <c r="AN22" s="11" t="n">
        <v>46606</v>
      </c>
      <c r="AO22" s="11" t="n">
        <v>45738</v>
      </c>
      <c r="AP22" s="11" t="n">
        <v>46248</v>
      </c>
      <c r="AQ22" s="8" t="s">
        <v>87</v>
      </c>
      <c r="AR22" s="12"/>
      <c r="AS22" s="12"/>
      <c r="AT22" s="12"/>
      <c r="AU22" s="7" t="s">
        <v>238</v>
      </c>
      <c r="AV22" s="7" t="s">
        <v>239</v>
      </c>
      <c r="AW22" s="9" t="s">
        <v>142</v>
      </c>
      <c r="AX22" s="8" t="s">
        <v>91</v>
      </c>
      <c r="AY22" s="8" t="s">
        <v>92</v>
      </c>
      <c r="AZ22" s="11" t="n">
        <v>45874</v>
      </c>
      <c r="BA22" s="7" t="s">
        <v>143</v>
      </c>
      <c r="BB22" s="8" t="s">
        <v>86</v>
      </c>
      <c r="BC22" s="11" t="n">
        <v>45858</v>
      </c>
      <c r="BD22" s="11"/>
      <c r="BE22" s="12"/>
      <c r="BF22" s="11"/>
      <c r="BG22" s="12"/>
      <c r="BH22" s="12"/>
      <c r="BI22" s="7" t="s">
        <v>90</v>
      </c>
    </row>
    <row r="23" customFormat="false" ht="15" hidden="false" customHeight="true" outlineLevel="0" collapsed="false">
      <c r="A23" s="16" t="s">
        <v>240</v>
      </c>
      <c r="B23" s="17" t="s">
        <v>241</v>
      </c>
      <c r="C23" s="18" t="s">
        <v>121</v>
      </c>
      <c r="D23" s="19" t="s">
        <v>122</v>
      </c>
      <c r="E23" s="17" t="s">
        <v>121</v>
      </c>
      <c r="F23" s="18" t="s">
        <v>77</v>
      </c>
      <c r="G23" s="20" t="n">
        <v>45548</v>
      </c>
      <c r="H23" s="20" t="n">
        <v>45567</v>
      </c>
      <c r="I23" s="21" t="n">
        <v>3645</v>
      </c>
      <c r="J23" s="19" t="n">
        <v>6</v>
      </c>
      <c r="K23" s="18" t="s">
        <v>123</v>
      </c>
      <c r="L23" s="22" t="n">
        <v>0.333</v>
      </c>
      <c r="M23" s="21" t="n">
        <v>1</v>
      </c>
      <c r="N23" s="21" t="n">
        <v>3044</v>
      </c>
      <c r="O23" s="21" t="n">
        <v>601</v>
      </c>
      <c r="P23" s="23" t="n">
        <f aca="false">IF(K23="定額",ROUND((I23-M23)/J23/12,0),ROUND(I23*L23/12,0))</f>
        <v>101</v>
      </c>
      <c r="Q23" s="23" t="n">
        <f aca="false">IF(K23="定額",ROUND((I23-M23)/J23/12,0),ROUND(I23*L23/12,0))</f>
        <v>101</v>
      </c>
      <c r="R23" s="23" t="n">
        <f aca="false">IF(K23="定額",ROUND((I23-M23)/J23/12,0),ROUND(I23*L23/12,0))</f>
        <v>101</v>
      </c>
      <c r="S23" s="23" t="n">
        <f aca="false">IF(K23="定額",ROUND((I23-M23)/J23/12,0),ROUND(I23*L23/12,0))</f>
        <v>101</v>
      </c>
      <c r="T23" s="23" t="n">
        <f aca="false">IF(K23="定額",ROUND((I23-M23)/J23/12,0),ROUND(I23*L23/12,0))</f>
        <v>101</v>
      </c>
      <c r="U23" s="23" t="n">
        <f aca="false">IF(K23="定額",ROUND((I23-M23)/J23/12,0),ROUND(I23*L23/12,0))</f>
        <v>101</v>
      </c>
      <c r="V23" s="23" t="n">
        <f aca="false">IF(K23="定額",ROUND((I23-M23)/J23/12,0),ROUND(I23*L23/12,0))</f>
        <v>101</v>
      </c>
      <c r="W23" s="23" t="n">
        <f aca="false">IF(K23="定額",ROUND((I23-M23)/J23/12,0),ROUND(I23*L23/12,0))</f>
        <v>101</v>
      </c>
      <c r="X23" s="23" t="n">
        <f aca="false">IF(K23="定額",ROUND((I23-M23)/J23/12,0),ROUND(I23*L23/12,0))</f>
        <v>101</v>
      </c>
      <c r="Y23" s="23" t="n">
        <f aca="false">IF(K23="定額",ROUND((I23-M23)/J23/12,0),ROUND(I23*L23/12,0))</f>
        <v>101</v>
      </c>
      <c r="Z23" s="23" t="n">
        <f aca="false">IF(K23="定額",ROUND((I23-M23)/J23/12,0),ROUND(I23*L23/12,0))</f>
        <v>101</v>
      </c>
      <c r="AA23" s="23" t="n">
        <f aca="false">IF(K23="定額",ROUND((I23-M23)/J23/12,0),ROUND(I23*L23/12,0))</f>
        <v>101</v>
      </c>
      <c r="AB23" s="24" t="n">
        <f aca="false">SUM(P23:AA23)</f>
        <v>1212</v>
      </c>
      <c r="AC23" s="24" t="n">
        <f aca="false">O23+AB23</f>
        <v>1813</v>
      </c>
      <c r="AD23" s="24" t="n">
        <f aca="false">I23-AC23</f>
        <v>1832</v>
      </c>
      <c r="AE23" s="17" t="s">
        <v>99</v>
      </c>
      <c r="AF23" s="17" t="s">
        <v>100</v>
      </c>
      <c r="AG23" s="19" t="s">
        <v>101</v>
      </c>
      <c r="AH23" s="16" t="s">
        <v>102</v>
      </c>
      <c r="AI23" s="16" t="s">
        <v>242</v>
      </c>
      <c r="AJ23" s="16" t="s">
        <v>129</v>
      </c>
      <c r="AK23" s="16" t="s">
        <v>130</v>
      </c>
      <c r="AL23" s="18" t="s">
        <v>86</v>
      </c>
      <c r="AM23" s="16" t="s">
        <v>129</v>
      </c>
      <c r="AN23" s="20" t="n">
        <v>48103</v>
      </c>
      <c r="AO23" s="20" t="n">
        <v>45768</v>
      </c>
      <c r="AP23" s="20" t="n">
        <v>46168</v>
      </c>
      <c r="AQ23" s="18" t="s">
        <v>86</v>
      </c>
      <c r="AR23" s="21" t="n">
        <v>1558</v>
      </c>
      <c r="AS23" s="21" t="n">
        <v>1486</v>
      </c>
      <c r="AT23" s="21" t="n">
        <v>1558</v>
      </c>
      <c r="AU23" s="16" t="s">
        <v>243</v>
      </c>
      <c r="AV23" s="16" t="s">
        <v>244</v>
      </c>
      <c r="AW23" s="19" t="s">
        <v>90</v>
      </c>
      <c r="AX23" s="18" t="s">
        <v>116</v>
      </c>
      <c r="AY23" s="18" t="s">
        <v>92</v>
      </c>
      <c r="AZ23" s="20"/>
      <c r="BA23" s="17" t="s">
        <v>117</v>
      </c>
      <c r="BB23" s="18" t="s">
        <v>87</v>
      </c>
      <c r="BC23" s="20"/>
      <c r="BD23" s="20"/>
      <c r="BE23" s="21"/>
      <c r="BF23" s="20"/>
      <c r="BG23" s="21"/>
      <c r="BH23" s="21"/>
      <c r="BI23" s="17" t="s">
        <v>149</v>
      </c>
    </row>
    <row r="24" customFormat="false" ht="15" hidden="false" customHeight="true" outlineLevel="0" collapsed="false">
      <c r="A24" s="7" t="s">
        <v>245</v>
      </c>
      <c r="B24" s="10" t="s">
        <v>246</v>
      </c>
      <c r="C24" s="8" t="s">
        <v>199</v>
      </c>
      <c r="D24" s="9" t="s">
        <v>200</v>
      </c>
      <c r="E24" s="10" t="s">
        <v>199</v>
      </c>
      <c r="F24" s="8" t="s">
        <v>136</v>
      </c>
      <c r="G24" s="11" t="n">
        <v>45258</v>
      </c>
      <c r="H24" s="11" t="n">
        <v>45292</v>
      </c>
      <c r="I24" s="12" t="n">
        <v>133444</v>
      </c>
      <c r="J24" s="9" t="n">
        <v>5</v>
      </c>
      <c r="K24" s="8" t="s">
        <v>78</v>
      </c>
      <c r="L24" s="13" t="n">
        <v>0.2</v>
      </c>
      <c r="M24" s="12" t="n">
        <v>1</v>
      </c>
      <c r="N24" s="12" t="n">
        <v>100125</v>
      </c>
      <c r="O24" s="12" t="n">
        <v>33319</v>
      </c>
      <c r="P24" s="14" t="n">
        <f aca="false">IF(K24="定額",ROUND((I24-M24)/J24/12,0),ROUND(I24*L24/12,0))</f>
        <v>2224</v>
      </c>
      <c r="Q24" s="14" t="n">
        <f aca="false">IF(K24="定額",ROUND((I24-M24)/J24/12,0),ROUND(I24*L24/12,0))</f>
        <v>2224</v>
      </c>
      <c r="R24" s="14" t="n">
        <f aca="false">IF(K24="定額",ROUND((I24-M24)/J24/12,0),ROUND(I24*L24/12,0))</f>
        <v>2224</v>
      </c>
      <c r="S24" s="14" t="n">
        <f aca="false">IF(K24="定額",ROUND((I24-M24)/J24/12,0),ROUND(I24*L24/12,0))</f>
        <v>2224</v>
      </c>
      <c r="T24" s="14" t="n">
        <f aca="false">IF(K24="定額",ROUND((I24-M24)/J24/12,0),ROUND(I24*L24/12,0))</f>
        <v>2224</v>
      </c>
      <c r="U24" s="14" t="n">
        <f aca="false">IF(K24="定額",ROUND((I24-M24)/J24/12,0),ROUND(I24*L24/12,0))</f>
        <v>2224</v>
      </c>
      <c r="V24" s="14" t="n">
        <f aca="false">IF(K24="定額",ROUND((I24-M24)/J24/12,0),ROUND(I24*L24/12,0))</f>
        <v>2224</v>
      </c>
      <c r="W24" s="14" t="n">
        <f aca="false">IF(K24="定額",ROUND((I24-M24)/J24/12,0),ROUND(I24*L24/12,0))</f>
        <v>2224</v>
      </c>
      <c r="X24" s="14" t="n">
        <f aca="false">IF(K24="定額",ROUND((I24-M24)/J24/12,0),ROUND(I24*L24/12,0))</f>
        <v>2224</v>
      </c>
      <c r="Y24" s="14" t="n">
        <f aca="false">IF(K24="定額",ROUND((I24-M24)/J24/12,0),ROUND(I24*L24/12,0))</f>
        <v>2224</v>
      </c>
      <c r="Z24" s="14" t="n">
        <f aca="false">IF(K24="定額",ROUND((I24-M24)/J24/12,0),ROUND(I24*L24/12,0))</f>
        <v>2224</v>
      </c>
      <c r="AA24" s="14" t="n">
        <f aca="false">IF(K24="定額",ROUND((I24-M24)/J24/12,0),ROUND(I24*L24/12,0))</f>
        <v>2224</v>
      </c>
      <c r="AB24" s="15" t="n">
        <f aca="false">SUM(P24:AA24)</f>
        <v>26688</v>
      </c>
      <c r="AC24" s="15" t="n">
        <f aca="false">O24+AB24</f>
        <v>60007</v>
      </c>
      <c r="AD24" s="15" t="n">
        <f aca="false">I24-AC24</f>
        <v>73437</v>
      </c>
      <c r="AE24" s="10" t="s">
        <v>154</v>
      </c>
      <c r="AF24" s="10" t="s">
        <v>155</v>
      </c>
      <c r="AG24" s="9" t="s">
        <v>156</v>
      </c>
      <c r="AH24" s="10" t="s">
        <v>157</v>
      </c>
      <c r="AI24" s="7" t="s">
        <v>247</v>
      </c>
      <c r="AJ24" s="10" t="s">
        <v>159</v>
      </c>
      <c r="AK24" s="7" t="s">
        <v>160</v>
      </c>
      <c r="AL24" s="8" t="s">
        <v>86</v>
      </c>
      <c r="AM24" s="10" t="s">
        <v>159</v>
      </c>
      <c r="AN24" s="11" t="n">
        <v>47448</v>
      </c>
      <c r="AO24" s="11" t="n">
        <v>45776</v>
      </c>
      <c r="AP24" s="11" t="n">
        <v>46251</v>
      </c>
      <c r="AQ24" s="8" t="s">
        <v>87</v>
      </c>
      <c r="AR24" s="12"/>
      <c r="AS24" s="12"/>
      <c r="AT24" s="12"/>
      <c r="AU24" s="7" t="s">
        <v>248</v>
      </c>
      <c r="AV24" s="7" t="s">
        <v>249</v>
      </c>
      <c r="AW24" s="9" t="s">
        <v>142</v>
      </c>
      <c r="AX24" s="8" t="s">
        <v>108</v>
      </c>
      <c r="AY24" s="8" t="s">
        <v>180</v>
      </c>
      <c r="AZ24" s="11" t="n">
        <v>45911</v>
      </c>
      <c r="BA24" s="10" t="s">
        <v>93</v>
      </c>
      <c r="BB24" s="8" t="s">
        <v>87</v>
      </c>
      <c r="BC24" s="11"/>
      <c r="BD24" s="11" t="n">
        <v>45752</v>
      </c>
      <c r="BE24" s="12"/>
      <c r="BF24" s="11"/>
      <c r="BG24" s="12"/>
      <c r="BH24" s="12"/>
      <c r="BI24" s="10" t="s">
        <v>110</v>
      </c>
    </row>
    <row r="25" customFormat="false" ht="15" hidden="false" customHeight="true" outlineLevel="0" collapsed="false">
      <c r="A25" s="16" t="s">
        <v>250</v>
      </c>
      <c r="B25" s="17" t="s">
        <v>251</v>
      </c>
      <c r="C25" s="18" t="s">
        <v>96</v>
      </c>
      <c r="D25" s="19" t="s">
        <v>97</v>
      </c>
      <c r="E25" s="17" t="s">
        <v>96</v>
      </c>
      <c r="F25" s="18" t="s">
        <v>77</v>
      </c>
      <c r="G25" s="20" t="n">
        <v>43816</v>
      </c>
      <c r="H25" s="20" t="n">
        <v>43868</v>
      </c>
      <c r="I25" s="21" t="n">
        <v>9209</v>
      </c>
      <c r="J25" s="19" t="n">
        <v>15</v>
      </c>
      <c r="K25" s="18" t="s">
        <v>78</v>
      </c>
      <c r="L25" s="22" t="n">
        <v>0.067</v>
      </c>
      <c r="M25" s="21" t="n">
        <v>1</v>
      </c>
      <c r="N25" s="21" t="n">
        <v>6050</v>
      </c>
      <c r="O25" s="21" t="n">
        <v>3159</v>
      </c>
      <c r="P25" s="23" t="n">
        <f aca="false">IF(K25="定額",ROUND((I25-M25)/J25/12,0),ROUND(I25*L25/12,0))</f>
        <v>51</v>
      </c>
      <c r="Q25" s="23" t="n">
        <f aca="false">IF(K25="定額",ROUND((I25-M25)/J25/12,0),ROUND(I25*L25/12,0))</f>
        <v>51</v>
      </c>
      <c r="R25" s="23" t="n">
        <f aca="false">IF(K25="定額",ROUND((I25-M25)/J25/12,0),ROUND(I25*L25/12,0))</f>
        <v>51</v>
      </c>
      <c r="S25" s="23" t="n">
        <f aca="false">IF(K25="定額",ROUND((I25-M25)/J25/12,0),ROUND(I25*L25/12,0))</f>
        <v>51</v>
      </c>
      <c r="T25" s="23" t="n">
        <f aca="false">IF(K25="定額",ROUND((I25-M25)/J25/12,0),ROUND(I25*L25/12,0))</f>
        <v>51</v>
      </c>
      <c r="U25" s="23" t="n">
        <f aca="false">IF(K25="定額",ROUND((I25-M25)/J25/12,0),ROUND(I25*L25/12,0))</f>
        <v>51</v>
      </c>
      <c r="V25" s="23" t="n">
        <f aca="false">IF(K25="定額",ROUND((I25-M25)/J25/12,0),ROUND(I25*L25/12,0))</f>
        <v>51</v>
      </c>
      <c r="W25" s="23" t="n">
        <f aca="false">IF(K25="定額",ROUND((I25-M25)/J25/12,0),ROUND(I25*L25/12,0))</f>
        <v>51</v>
      </c>
      <c r="X25" s="23" t="n">
        <f aca="false">IF(K25="定額",ROUND((I25-M25)/J25/12,0),ROUND(I25*L25/12,0))</f>
        <v>51</v>
      </c>
      <c r="Y25" s="23" t="n">
        <f aca="false">IF(K25="定額",ROUND((I25-M25)/J25/12,0),ROUND(I25*L25/12,0))</f>
        <v>51</v>
      </c>
      <c r="Z25" s="23" t="n">
        <f aca="false">IF(K25="定額",ROUND((I25-M25)/J25/12,0),ROUND(I25*L25/12,0))</f>
        <v>51</v>
      </c>
      <c r="AA25" s="23" t="n">
        <f aca="false">IF(K25="定額",ROUND((I25-M25)/J25/12,0),ROUND(I25*L25/12,0))</f>
        <v>51</v>
      </c>
      <c r="AB25" s="24" t="n">
        <f aca="false">SUM(P25:AA25)</f>
        <v>612</v>
      </c>
      <c r="AC25" s="24" t="n">
        <f aca="false">O25+AB25</f>
        <v>3771</v>
      </c>
      <c r="AD25" s="24" t="n">
        <f aca="false">I25-AC25</f>
        <v>5438</v>
      </c>
      <c r="AE25" s="17" t="s">
        <v>99</v>
      </c>
      <c r="AF25" s="17" t="s">
        <v>100</v>
      </c>
      <c r="AG25" s="19" t="s">
        <v>101</v>
      </c>
      <c r="AH25" s="16" t="s">
        <v>102</v>
      </c>
      <c r="AI25" s="16" t="s">
        <v>252</v>
      </c>
      <c r="AJ25" s="16" t="s">
        <v>129</v>
      </c>
      <c r="AK25" s="16" t="s">
        <v>130</v>
      </c>
      <c r="AL25" s="18" t="s">
        <v>86</v>
      </c>
      <c r="AM25" s="16" t="s">
        <v>129</v>
      </c>
      <c r="AN25" s="20" t="n">
        <v>46006</v>
      </c>
      <c r="AO25" s="20" t="n">
        <v>45722</v>
      </c>
      <c r="AP25" s="20" t="n">
        <v>45941</v>
      </c>
      <c r="AQ25" s="18" t="s">
        <v>87</v>
      </c>
      <c r="AR25" s="21"/>
      <c r="AS25" s="21"/>
      <c r="AT25" s="21"/>
      <c r="AU25" s="16" t="s">
        <v>253</v>
      </c>
      <c r="AV25" s="16" t="s">
        <v>254</v>
      </c>
      <c r="AW25" s="19" t="s">
        <v>90</v>
      </c>
      <c r="AX25" s="18" t="s">
        <v>116</v>
      </c>
      <c r="AY25" s="18" t="s">
        <v>92</v>
      </c>
      <c r="AZ25" s="20" t="n">
        <v>45910</v>
      </c>
      <c r="BA25" s="17" t="s">
        <v>109</v>
      </c>
      <c r="BB25" s="18" t="s">
        <v>87</v>
      </c>
      <c r="BC25" s="20"/>
      <c r="BD25" s="20"/>
      <c r="BE25" s="21"/>
      <c r="BF25" s="20"/>
      <c r="BG25" s="21"/>
      <c r="BH25" s="21"/>
      <c r="BI25" s="17" t="s">
        <v>118</v>
      </c>
    </row>
    <row r="26" customFormat="false" ht="15" hidden="false" customHeight="true" outlineLevel="0" collapsed="false">
      <c r="A26" s="7" t="s">
        <v>255</v>
      </c>
      <c r="B26" s="10" t="s">
        <v>256</v>
      </c>
      <c r="C26" s="8" t="s">
        <v>199</v>
      </c>
      <c r="D26" s="9" t="s">
        <v>200</v>
      </c>
      <c r="E26" s="10" t="s">
        <v>199</v>
      </c>
      <c r="F26" s="8" t="s">
        <v>136</v>
      </c>
      <c r="G26" s="11" t="n">
        <v>44089</v>
      </c>
      <c r="H26" s="11" t="n">
        <v>44113</v>
      </c>
      <c r="I26" s="12" t="n">
        <v>36827</v>
      </c>
      <c r="J26" s="9" t="n">
        <v>5</v>
      </c>
      <c r="K26" s="8" t="s">
        <v>78</v>
      </c>
      <c r="L26" s="13" t="n">
        <v>0.2</v>
      </c>
      <c r="M26" s="12" t="n">
        <v>1</v>
      </c>
      <c r="N26" s="12" t="n">
        <v>3858</v>
      </c>
      <c r="O26" s="12" t="n">
        <v>32969</v>
      </c>
      <c r="P26" s="14" t="n">
        <f aca="false">IF(K26="定額",ROUND((I26-M26)/J26/12,0),ROUND(I26*L26/12,0))</f>
        <v>614</v>
      </c>
      <c r="Q26" s="14" t="n">
        <f aca="false">IF(K26="定額",ROUND((I26-M26)/J26/12,0),ROUND(I26*L26/12,0))</f>
        <v>614</v>
      </c>
      <c r="R26" s="14" t="n">
        <f aca="false">IF(K26="定額",ROUND((I26-M26)/J26/12,0),ROUND(I26*L26/12,0))</f>
        <v>614</v>
      </c>
      <c r="S26" s="14" t="n">
        <f aca="false">IF(K26="定額",ROUND((I26-M26)/J26/12,0),ROUND(I26*L26/12,0))</f>
        <v>614</v>
      </c>
      <c r="T26" s="14" t="n">
        <f aca="false">IF(K26="定額",ROUND((I26-M26)/J26/12,0),ROUND(I26*L26/12,0))</f>
        <v>614</v>
      </c>
      <c r="U26" s="14" t="n">
        <f aca="false">IF(K26="定額",ROUND((I26-M26)/J26/12,0),ROUND(I26*L26/12,0))</f>
        <v>614</v>
      </c>
      <c r="V26" s="14" t="n">
        <f aca="false">IF(K26="定額",ROUND((I26-M26)/J26/12,0),ROUND(I26*L26/12,0))</f>
        <v>614</v>
      </c>
      <c r="W26" s="14" t="n">
        <f aca="false">IF(K26="定額",ROUND((I26-M26)/J26/12,0),ROUND(I26*L26/12,0))</f>
        <v>614</v>
      </c>
      <c r="X26" s="14" t="n">
        <f aca="false">IF(K26="定額",ROUND((I26-M26)/J26/12,0),ROUND(I26*L26/12,0))</f>
        <v>614</v>
      </c>
      <c r="Y26" s="14" t="n">
        <f aca="false">IF(K26="定額",ROUND((I26-M26)/J26/12,0),ROUND(I26*L26/12,0))</f>
        <v>614</v>
      </c>
      <c r="Z26" s="14" t="n">
        <f aca="false">IF(K26="定額",ROUND((I26-M26)/J26/12,0),ROUND(I26*L26/12,0))</f>
        <v>614</v>
      </c>
      <c r="AA26" s="14" t="n">
        <f aca="false">IF(K26="定額",ROUND((I26-M26)/J26/12,0),ROUND(I26*L26/12,0))</f>
        <v>614</v>
      </c>
      <c r="AB26" s="15" t="n">
        <f aca="false">SUM(P26:AA26)</f>
        <v>7368</v>
      </c>
      <c r="AC26" s="15" t="n">
        <f aca="false">O26+AB26</f>
        <v>40337</v>
      </c>
      <c r="AD26" s="15" t="n">
        <f aca="false">I26-AC26</f>
        <v>-3510</v>
      </c>
      <c r="AE26" s="10" t="s">
        <v>167</v>
      </c>
      <c r="AF26" s="10" t="s">
        <v>168</v>
      </c>
      <c r="AG26" s="9" t="s">
        <v>169</v>
      </c>
      <c r="AH26" s="10" t="s">
        <v>170</v>
      </c>
      <c r="AI26" s="7" t="s">
        <v>257</v>
      </c>
      <c r="AJ26" s="10" t="s">
        <v>159</v>
      </c>
      <c r="AK26" s="7" t="s">
        <v>160</v>
      </c>
      <c r="AL26" s="8" t="s">
        <v>87</v>
      </c>
      <c r="AM26" s="7" t="s">
        <v>90</v>
      </c>
      <c r="AN26" s="11"/>
      <c r="AO26" s="11" t="n">
        <v>45741</v>
      </c>
      <c r="AP26" s="11" t="n">
        <v>46204</v>
      </c>
      <c r="AQ26" s="8" t="s">
        <v>86</v>
      </c>
      <c r="AR26" s="12" t="n">
        <v>2227</v>
      </c>
      <c r="AS26" s="12" t="n">
        <v>1631</v>
      </c>
      <c r="AT26" s="12" t="n">
        <v>2227</v>
      </c>
      <c r="AU26" s="7" t="s">
        <v>258</v>
      </c>
      <c r="AV26" s="7" t="s">
        <v>259</v>
      </c>
      <c r="AW26" s="9" t="s">
        <v>142</v>
      </c>
      <c r="AX26" s="8" t="s">
        <v>116</v>
      </c>
      <c r="AY26" s="8" t="s">
        <v>92</v>
      </c>
      <c r="AZ26" s="11" t="n">
        <v>45905</v>
      </c>
      <c r="BA26" s="10" t="s">
        <v>109</v>
      </c>
      <c r="BB26" s="8" t="s">
        <v>87</v>
      </c>
      <c r="BC26" s="11"/>
      <c r="BD26" s="11"/>
      <c r="BE26" s="12"/>
      <c r="BF26" s="11"/>
      <c r="BG26" s="12"/>
      <c r="BH26" s="12"/>
      <c r="BI26" s="7" t="s">
        <v>90</v>
      </c>
    </row>
    <row r="27" customFormat="false" ht="15" hidden="false" customHeight="true" outlineLevel="0" collapsed="false">
      <c r="A27" s="16" t="s">
        <v>260</v>
      </c>
      <c r="B27" s="17" t="s">
        <v>261</v>
      </c>
      <c r="C27" s="18" t="s">
        <v>221</v>
      </c>
      <c r="D27" s="19" t="s">
        <v>222</v>
      </c>
      <c r="E27" s="17" t="s">
        <v>221</v>
      </c>
      <c r="F27" s="18" t="s">
        <v>77</v>
      </c>
      <c r="G27" s="20" t="n">
        <v>44057</v>
      </c>
      <c r="H27" s="20" t="n">
        <v>44093</v>
      </c>
      <c r="I27" s="21" t="n">
        <v>27118</v>
      </c>
      <c r="J27" s="19" t="n">
        <v>10</v>
      </c>
      <c r="K27" s="18" t="s">
        <v>123</v>
      </c>
      <c r="L27" s="22" t="n">
        <v>0.2</v>
      </c>
      <c r="M27" s="21" t="n">
        <v>1</v>
      </c>
      <c r="N27" s="21" t="n">
        <v>2543</v>
      </c>
      <c r="O27" s="21" t="n">
        <v>24575</v>
      </c>
      <c r="P27" s="23" t="n">
        <f aca="false">IF(K27="定額",ROUND((I27-M27)/J27/12,0),ROUND(I27*L27/12,0))</f>
        <v>452</v>
      </c>
      <c r="Q27" s="23" t="n">
        <f aca="false">IF(K27="定額",ROUND((I27-M27)/J27/12,0),ROUND(I27*L27/12,0))</f>
        <v>452</v>
      </c>
      <c r="R27" s="23" t="n">
        <f aca="false">IF(K27="定額",ROUND((I27-M27)/J27/12,0),ROUND(I27*L27/12,0))</f>
        <v>452</v>
      </c>
      <c r="S27" s="23" t="n">
        <f aca="false">IF(K27="定額",ROUND((I27-M27)/J27/12,0),ROUND(I27*L27/12,0))</f>
        <v>452</v>
      </c>
      <c r="T27" s="23" t="n">
        <f aca="false">IF(K27="定額",ROUND((I27-M27)/J27/12,0),ROUND(I27*L27/12,0))</f>
        <v>452</v>
      </c>
      <c r="U27" s="23" t="n">
        <f aca="false">IF(K27="定額",ROUND((I27-M27)/J27/12,0),ROUND(I27*L27/12,0))</f>
        <v>452</v>
      </c>
      <c r="V27" s="23" t="n">
        <f aca="false">IF(K27="定額",ROUND((I27-M27)/J27/12,0),ROUND(I27*L27/12,0))</f>
        <v>452</v>
      </c>
      <c r="W27" s="23" t="n">
        <f aca="false">IF(K27="定額",ROUND((I27-M27)/J27/12,0),ROUND(I27*L27/12,0))</f>
        <v>452</v>
      </c>
      <c r="X27" s="23" t="n">
        <f aca="false">IF(K27="定額",ROUND((I27-M27)/J27/12,0),ROUND(I27*L27/12,0))</f>
        <v>452</v>
      </c>
      <c r="Y27" s="23" t="n">
        <f aca="false">IF(K27="定額",ROUND((I27-M27)/J27/12,0),ROUND(I27*L27/12,0))</f>
        <v>452</v>
      </c>
      <c r="Z27" s="23" t="n">
        <f aca="false">IF(K27="定額",ROUND((I27-M27)/J27/12,0),ROUND(I27*L27/12,0))</f>
        <v>452</v>
      </c>
      <c r="AA27" s="23" t="n">
        <f aca="false">IF(K27="定額",ROUND((I27-M27)/J27/12,0),ROUND(I27*L27/12,0))</f>
        <v>452</v>
      </c>
      <c r="AB27" s="24" t="n">
        <f aca="false">SUM(P27:AA27)</f>
        <v>5424</v>
      </c>
      <c r="AC27" s="24" t="n">
        <f aca="false">O27+AB27</f>
        <v>29999</v>
      </c>
      <c r="AD27" s="24" t="n">
        <f aca="false">I27-AC27</f>
        <v>-2881</v>
      </c>
      <c r="AE27" s="17" t="s">
        <v>99</v>
      </c>
      <c r="AF27" s="17" t="s">
        <v>100</v>
      </c>
      <c r="AG27" s="19" t="s">
        <v>101</v>
      </c>
      <c r="AH27" s="16" t="s">
        <v>102</v>
      </c>
      <c r="AI27" s="16" t="s">
        <v>262</v>
      </c>
      <c r="AJ27" s="16" t="s">
        <v>104</v>
      </c>
      <c r="AK27" s="16" t="s">
        <v>105</v>
      </c>
      <c r="AL27" s="18" t="s">
        <v>87</v>
      </c>
      <c r="AM27" s="16" t="s">
        <v>90</v>
      </c>
      <c r="AN27" s="20"/>
      <c r="AO27" s="20" t="n">
        <v>45887</v>
      </c>
      <c r="AP27" s="20" t="n">
        <v>46110</v>
      </c>
      <c r="AQ27" s="18" t="s">
        <v>87</v>
      </c>
      <c r="AR27" s="21"/>
      <c r="AS27" s="21"/>
      <c r="AT27" s="21"/>
      <c r="AU27" s="16" t="s">
        <v>263</v>
      </c>
      <c r="AV27" s="16" t="s">
        <v>264</v>
      </c>
      <c r="AW27" s="19" t="s">
        <v>142</v>
      </c>
      <c r="AX27" s="18" t="s">
        <v>91</v>
      </c>
      <c r="AY27" s="18" t="s">
        <v>174</v>
      </c>
      <c r="AZ27" s="20" t="n">
        <v>45877</v>
      </c>
      <c r="BA27" s="17" t="s">
        <v>163</v>
      </c>
      <c r="BB27" s="18" t="s">
        <v>87</v>
      </c>
      <c r="BC27" s="20"/>
      <c r="BD27" s="20"/>
      <c r="BE27" s="21"/>
      <c r="BF27" s="20"/>
      <c r="BG27" s="21"/>
      <c r="BH27" s="21"/>
      <c r="BI27" s="17" t="s">
        <v>149</v>
      </c>
    </row>
    <row r="28" customFormat="false" ht="15" hidden="false" customHeight="true" outlineLevel="0" collapsed="false">
      <c r="A28" s="7" t="s">
        <v>265</v>
      </c>
      <c r="B28" s="10" t="s">
        <v>266</v>
      </c>
      <c r="C28" s="8" t="s">
        <v>96</v>
      </c>
      <c r="D28" s="9" t="s">
        <v>97</v>
      </c>
      <c r="E28" s="10" t="s">
        <v>96</v>
      </c>
      <c r="F28" s="8" t="s">
        <v>98</v>
      </c>
      <c r="G28" s="11" t="n">
        <v>45130</v>
      </c>
      <c r="H28" s="11" t="n">
        <v>45179</v>
      </c>
      <c r="I28" s="12" t="n">
        <v>41960</v>
      </c>
      <c r="J28" s="9" t="n">
        <v>15</v>
      </c>
      <c r="K28" s="8" t="s">
        <v>78</v>
      </c>
      <c r="L28" s="13" t="n">
        <v>0.067</v>
      </c>
      <c r="M28" s="12" t="n">
        <v>1</v>
      </c>
      <c r="N28" s="12" t="n">
        <v>37603</v>
      </c>
      <c r="O28" s="12" t="n">
        <v>4357</v>
      </c>
      <c r="P28" s="14" t="n">
        <f aca="false">IF(K28="定額",ROUND((I28-M28)/J28/12,0),ROUND(I28*L28/12,0))</f>
        <v>233</v>
      </c>
      <c r="Q28" s="14" t="n">
        <f aca="false">IF(K28="定額",ROUND((I28-M28)/J28/12,0),ROUND(I28*L28/12,0))</f>
        <v>233</v>
      </c>
      <c r="R28" s="14" t="n">
        <f aca="false">IF(K28="定額",ROUND((I28-M28)/J28/12,0),ROUND(I28*L28/12,0))</f>
        <v>233</v>
      </c>
      <c r="S28" s="14" t="n">
        <f aca="false">IF(K28="定額",ROUND((I28-M28)/J28/12,0),ROUND(I28*L28/12,0))</f>
        <v>233</v>
      </c>
      <c r="T28" s="14" t="n">
        <f aca="false">IF(K28="定額",ROUND((I28-M28)/J28/12,0),ROUND(I28*L28/12,0))</f>
        <v>233</v>
      </c>
      <c r="U28" s="14" t="n">
        <f aca="false">IF(K28="定額",ROUND((I28-M28)/J28/12,0),ROUND(I28*L28/12,0))</f>
        <v>233</v>
      </c>
      <c r="V28" s="14" t="n">
        <f aca="false">IF(K28="定額",ROUND((I28-M28)/J28/12,0),ROUND(I28*L28/12,0))</f>
        <v>233</v>
      </c>
      <c r="W28" s="14" t="n">
        <f aca="false">IF(K28="定額",ROUND((I28-M28)/J28/12,0),ROUND(I28*L28/12,0))</f>
        <v>233</v>
      </c>
      <c r="X28" s="14" t="n">
        <f aca="false">IF(K28="定額",ROUND((I28-M28)/J28/12,0),ROUND(I28*L28/12,0))</f>
        <v>233</v>
      </c>
      <c r="Y28" s="14" t="n">
        <f aca="false">IF(K28="定額",ROUND((I28-M28)/J28/12,0),ROUND(I28*L28/12,0))</f>
        <v>233</v>
      </c>
      <c r="Z28" s="14" t="n">
        <f aca="false">IF(K28="定額",ROUND((I28-M28)/J28/12,0),ROUND(I28*L28/12,0))</f>
        <v>233</v>
      </c>
      <c r="AA28" s="14" t="n">
        <f aca="false">IF(K28="定額",ROUND((I28-M28)/J28/12,0),ROUND(I28*L28/12,0))</f>
        <v>233</v>
      </c>
      <c r="AB28" s="15" t="n">
        <f aca="false">SUM(P28:AA28)</f>
        <v>2796</v>
      </c>
      <c r="AC28" s="15" t="n">
        <f aca="false">O28+AB28</f>
        <v>7153</v>
      </c>
      <c r="AD28" s="15" t="n">
        <f aca="false">I28-AC28</f>
        <v>34807</v>
      </c>
      <c r="AE28" s="10" t="s">
        <v>167</v>
      </c>
      <c r="AF28" s="10" t="s">
        <v>168</v>
      </c>
      <c r="AG28" s="9" t="s">
        <v>169</v>
      </c>
      <c r="AH28" s="10" t="s">
        <v>170</v>
      </c>
      <c r="AI28" s="7" t="s">
        <v>267</v>
      </c>
      <c r="AJ28" s="10" t="s">
        <v>188</v>
      </c>
      <c r="AK28" s="7" t="s">
        <v>189</v>
      </c>
      <c r="AL28" s="8" t="s">
        <v>87</v>
      </c>
      <c r="AM28" s="7" t="s">
        <v>90</v>
      </c>
      <c r="AN28" s="11"/>
      <c r="AO28" s="11" t="n">
        <v>45871</v>
      </c>
      <c r="AP28" s="11" t="n">
        <v>46014</v>
      </c>
      <c r="AQ28" s="8" t="s">
        <v>87</v>
      </c>
      <c r="AR28" s="12"/>
      <c r="AS28" s="12"/>
      <c r="AT28" s="12"/>
      <c r="AU28" s="7" t="s">
        <v>268</v>
      </c>
      <c r="AV28" s="7" t="s">
        <v>269</v>
      </c>
      <c r="AW28" s="9" t="s">
        <v>142</v>
      </c>
      <c r="AX28" s="8" t="s">
        <v>116</v>
      </c>
      <c r="AY28" s="8" t="s">
        <v>92</v>
      </c>
      <c r="AZ28" s="11"/>
      <c r="BA28" s="7" t="s">
        <v>90</v>
      </c>
      <c r="BB28" s="8" t="s">
        <v>87</v>
      </c>
      <c r="BC28" s="11"/>
      <c r="BD28" s="11"/>
      <c r="BE28" s="12"/>
      <c r="BF28" s="11"/>
      <c r="BG28" s="12"/>
      <c r="BH28" s="12"/>
      <c r="BI28" s="10" t="s">
        <v>118</v>
      </c>
    </row>
    <row r="29" customFormat="false" ht="15" hidden="false" customHeight="true" outlineLevel="0" collapsed="false">
      <c r="A29" s="16" t="s">
        <v>270</v>
      </c>
      <c r="B29" s="17" t="s">
        <v>271</v>
      </c>
      <c r="C29" s="18" t="s">
        <v>121</v>
      </c>
      <c r="D29" s="19" t="s">
        <v>122</v>
      </c>
      <c r="E29" s="17" t="s">
        <v>121</v>
      </c>
      <c r="F29" s="19" t="s">
        <v>90</v>
      </c>
      <c r="G29" s="20" t="n">
        <v>44185</v>
      </c>
      <c r="H29" s="20" t="n">
        <v>44198</v>
      </c>
      <c r="I29" s="21" t="n">
        <v>2970</v>
      </c>
      <c r="J29" s="19" t="n">
        <v>6</v>
      </c>
      <c r="K29" s="18" t="s">
        <v>123</v>
      </c>
      <c r="L29" s="22" t="n">
        <v>0.333</v>
      </c>
      <c r="M29" s="21" t="n">
        <v>1</v>
      </c>
      <c r="N29" s="21" t="n">
        <v>1</v>
      </c>
      <c r="O29" s="21" t="n">
        <v>2969</v>
      </c>
      <c r="P29" s="23" t="n">
        <f aca="false">IF(K29="定額",ROUND((I29-M29)/J29/12,0),ROUND(I29*L29/12,0))</f>
        <v>82</v>
      </c>
      <c r="Q29" s="23" t="n">
        <f aca="false">IF(K29="定額",ROUND((I29-M29)/J29/12,0),ROUND(I29*L29/12,0))</f>
        <v>82</v>
      </c>
      <c r="R29" s="23" t="n">
        <f aca="false">IF(K29="定額",ROUND((I29-M29)/J29/12,0),ROUND(I29*L29/12,0))</f>
        <v>82</v>
      </c>
      <c r="S29" s="23" t="n">
        <f aca="false">IF(K29="定額",ROUND((I29-M29)/J29/12,0),ROUND(I29*L29/12,0))</f>
        <v>82</v>
      </c>
      <c r="T29" s="23" t="n">
        <f aca="false">IF(K29="定額",ROUND((I29-M29)/J29/12,0),ROUND(I29*L29/12,0))</f>
        <v>82</v>
      </c>
      <c r="U29" s="23" t="n">
        <f aca="false">IF(K29="定額",ROUND((I29-M29)/J29/12,0),ROUND(I29*L29/12,0))</f>
        <v>82</v>
      </c>
      <c r="V29" s="23" t="n">
        <f aca="false">IF(K29="定額",ROUND((I29-M29)/J29/12,0),ROUND(I29*L29/12,0))</f>
        <v>82</v>
      </c>
      <c r="W29" s="23" t="n">
        <f aca="false">IF(K29="定額",ROUND((I29-M29)/J29/12,0),ROUND(I29*L29/12,0))</f>
        <v>82</v>
      </c>
      <c r="X29" s="23" t="n">
        <f aca="false">IF(K29="定額",ROUND((I29-M29)/J29/12,0),ROUND(I29*L29/12,0))</f>
        <v>82</v>
      </c>
      <c r="Y29" s="23" t="n">
        <f aca="false">IF(K29="定額",ROUND((I29-M29)/J29/12,0),ROUND(I29*L29/12,0))</f>
        <v>82</v>
      </c>
      <c r="Z29" s="23" t="n">
        <f aca="false">IF(K29="定額",ROUND((I29-M29)/J29/12,0),ROUND(I29*L29/12,0))</f>
        <v>82</v>
      </c>
      <c r="AA29" s="23" t="n">
        <f aca="false">IF(K29="定額",ROUND((I29-M29)/J29/12,0),ROUND(I29*L29/12,0))</f>
        <v>82</v>
      </c>
      <c r="AB29" s="24" t="n">
        <f aca="false">SUM(P29:AA29)</f>
        <v>984</v>
      </c>
      <c r="AC29" s="24" t="n">
        <f aca="false">O29+AB29</f>
        <v>3953</v>
      </c>
      <c r="AD29" s="24" t="n">
        <f aca="false">I29-AC29</f>
        <v>-983</v>
      </c>
      <c r="AE29" s="17" t="s">
        <v>167</v>
      </c>
      <c r="AF29" s="17" t="s">
        <v>168</v>
      </c>
      <c r="AG29" s="19" t="s">
        <v>169</v>
      </c>
      <c r="AH29" s="17" t="s">
        <v>170</v>
      </c>
      <c r="AI29" s="16" t="s">
        <v>272</v>
      </c>
      <c r="AJ29" s="16" t="s">
        <v>84</v>
      </c>
      <c r="AK29" s="16" t="s">
        <v>85</v>
      </c>
      <c r="AL29" s="18" t="s">
        <v>86</v>
      </c>
      <c r="AM29" s="16" t="s">
        <v>84</v>
      </c>
      <c r="AN29" s="20" t="n">
        <v>46740</v>
      </c>
      <c r="AO29" s="20" t="n">
        <v>45813</v>
      </c>
      <c r="AP29" s="20" t="n">
        <v>45937</v>
      </c>
      <c r="AQ29" s="18" t="s">
        <v>87</v>
      </c>
      <c r="AR29" s="21"/>
      <c r="AS29" s="21"/>
      <c r="AT29" s="21"/>
      <c r="AU29" s="16" t="s">
        <v>273</v>
      </c>
      <c r="AV29" s="16" t="s">
        <v>274</v>
      </c>
      <c r="AW29" s="19" t="s">
        <v>90</v>
      </c>
      <c r="AX29" s="18" t="s">
        <v>108</v>
      </c>
      <c r="AY29" s="18" t="s">
        <v>92</v>
      </c>
      <c r="AZ29" s="20"/>
      <c r="BA29" s="17" t="s">
        <v>117</v>
      </c>
      <c r="BB29" s="18" t="s">
        <v>87</v>
      </c>
      <c r="BC29" s="20"/>
      <c r="BD29" s="20"/>
      <c r="BE29" s="21"/>
      <c r="BF29" s="20"/>
      <c r="BG29" s="21"/>
      <c r="BH29" s="21"/>
      <c r="BI29" s="17" t="s">
        <v>118</v>
      </c>
    </row>
    <row r="30" customFormat="false" ht="15" hidden="false" customHeight="true" outlineLevel="0" collapsed="false">
      <c r="A30" s="7" t="s">
        <v>275</v>
      </c>
      <c r="B30" s="10" t="s">
        <v>276</v>
      </c>
      <c r="C30" s="8" t="s">
        <v>75</v>
      </c>
      <c r="D30" s="9" t="s">
        <v>76</v>
      </c>
      <c r="E30" s="10" t="s">
        <v>75</v>
      </c>
      <c r="F30" s="8" t="s">
        <v>98</v>
      </c>
      <c r="G30" s="11" t="n">
        <v>43912</v>
      </c>
      <c r="H30" s="11" t="n">
        <v>43965</v>
      </c>
      <c r="I30" s="12" t="n">
        <v>191600</v>
      </c>
      <c r="J30" s="9" t="n">
        <v>5</v>
      </c>
      <c r="K30" s="8" t="s">
        <v>78</v>
      </c>
      <c r="L30" s="13" t="n">
        <v>0.2</v>
      </c>
      <c r="M30" s="12" t="n">
        <v>1</v>
      </c>
      <c r="N30" s="12" t="n">
        <v>19161</v>
      </c>
      <c r="O30" s="12" t="n">
        <v>172439</v>
      </c>
      <c r="P30" s="14" t="n">
        <f aca="false">IF(K30="定額",ROUND((I30-M30)/J30/12,0),ROUND(I30*L30/12,0))</f>
        <v>3193</v>
      </c>
      <c r="Q30" s="14" t="n">
        <f aca="false">IF(K30="定額",ROUND((I30-M30)/J30/12,0),ROUND(I30*L30/12,0))</f>
        <v>3193</v>
      </c>
      <c r="R30" s="14" t="n">
        <f aca="false">IF(K30="定額",ROUND((I30-M30)/J30/12,0),ROUND(I30*L30/12,0))</f>
        <v>3193</v>
      </c>
      <c r="S30" s="14" t="n">
        <f aca="false">IF(K30="定額",ROUND((I30-M30)/J30/12,0),ROUND(I30*L30/12,0))</f>
        <v>3193</v>
      </c>
      <c r="T30" s="14" t="n">
        <f aca="false">IF(K30="定額",ROUND((I30-M30)/J30/12,0),ROUND(I30*L30/12,0))</f>
        <v>3193</v>
      </c>
      <c r="U30" s="14" t="n">
        <f aca="false">IF(K30="定額",ROUND((I30-M30)/J30/12,0),ROUND(I30*L30/12,0))</f>
        <v>3193</v>
      </c>
      <c r="V30" s="14" t="n">
        <f aca="false">IF(K30="定額",ROUND((I30-M30)/J30/12,0),ROUND(I30*L30/12,0))</f>
        <v>3193</v>
      </c>
      <c r="W30" s="14" t="n">
        <f aca="false">IF(K30="定額",ROUND((I30-M30)/J30/12,0),ROUND(I30*L30/12,0))</f>
        <v>3193</v>
      </c>
      <c r="X30" s="14" t="n">
        <f aca="false">IF(K30="定額",ROUND((I30-M30)/J30/12,0),ROUND(I30*L30/12,0))</f>
        <v>3193</v>
      </c>
      <c r="Y30" s="14" t="n">
        <f aca="false">IF(K30="定額",ROUND((I30-M30)/J30/12,0),ROUND(I30*L30/12,0))</f>
        <v>3193</v>
      </c>
      <c r="Z30" s="14" t="n">
        <f aca="false">IF(K30="定額",ROUND((I30-M30)/J30/12,0),ROUND(I30*L30/12,0))</f>
        <v>3193</v>
      </c>
      <c r="AA30" s="14" t="n">
        <f aca="false">IF(K30="定額",ROUND((I30-M30)/J30/12,0),ROUND(I30*L30/12,0))</f>
        <v>3193</v>
      </c>
      <c r="AB30" s="15" t="n">
        <f aca="false">SUM(P30:AA30)</f>
        <v>38316</v>
      </c>
      <c r="AC30" s="15" t="n">
        <f aca="false">O30+AB30</f>
        <v>210755</v>
      </c>
      <c r="AD30" s="15" t="n">
        <f aca="false">I30-AC30</f>
        <v>-19155</v>
      </c>
      <c r="AE30" s="10" t="s">
        <v>167</v>
      </c>
      <c r="AF30" s="10" t="s">
        <v>277</v>
      </c>
      <c r="AG30" s="9" t="s">
        <v>278</v>
      </c>
      <c r="AH30" s="10" t="s">
        <v>279</v>
      </c>
      <c r="AI30" s="7" t="s">
        <v>280</v>
      </c>
      <c r="AJ30" s="10" t="s">
        <v>159</v>
      </c>
      <c r="AK30" s="7" t="s">
        <v>160</v>
      </c>
      <c r="AL30" s="8" t="s">
        <v>87</v>
      </c>
      <c r="AM30" s="7" t="s">
        <v>90</v>
      </c>
      <c r="AN30" s="11"/>
      <c r="AO30" s="11" t="n">
        <v>45878</v>
      </c>
      <c r="AP30" s="11" t="n">
        <v>46073</v>
      </c>
      <c r="AQ30" s="8" t="s">
        <v>87</v>
      </c>
      <c r="AR30" s="12"/>
      <c r="AS30" s="12"/>
      <c r="AT30" s="12"/>
      <c r="AU30" s="7" t="s">
        <v>281</v>
      </c>
      <c r="AV30" s="7" t="s">
        <v>282</v>
      </c>
      <c r="AW30" s="9" t="s">
        <v>142</v>
      </c>
      <c r="AX30" s="8" t="s">
        <v>91</v>
      </c>
      <c r="AY30" s="8" t="s">
        <v>92</v>
      </c>
      <c r="AZ30" s="11" t="n">
        <v>45943</v>
      </c>
      <c r="BA30" s="10" t="s">
        <v>93</v>
      </c>
      <c r="BB30" s="8" t="s">
        <v>86</v>
      </c>
      <c r="BC30" s="11" t="n">
        <v>45814</v>
      </c>
      <c r="BD30" s="11"/>
      <c r="BE30" s="12"/>
      <c r="BF30" s="11"/>
      <c r="BG30" s="12"/>
      <c r="BH30" s="12"/>
      <c r="BI30" s="10" t="s">
        <v>118</v>
      </c>
    </row>
    <row r="31" customFormat="false" ht="15" hidden="false" customHeight="true" outlineLevel="0" collapsed="false">
      <c r="A31" s="16" t="s">
        <v>283</v>
      </c>
      <c r="B31" s="17" t="s">
        <v>284</v>
      </c>
      <c r="C31" s="18" t="s">
        <v>96</v>
      </c>
      <c r="D31" s="19" t="s">
        <v>97</v>
      </c>
      <c r="E31" s="17" t="s">
        <v>96</v>
      </c>
      <c r="F31" s="19" t="s">
        <v>90</v>
      </c>
      <c r="G31" s="20" t="n">
        <v>44585</v>
      </c>
      <c r="H31" s="20" t="n">
        <v>44609</v>
      </c>
      <c r="I31" s="21" t="n">
        <v>55322</v>
      </c>
      <c r="J31" s="19" t="n">
        <v>15</v>
      </c>
      <c r="K31" s="18" t="s">
        <v>78</v>
      </c>
      <c r="L31" s="22" t="n">
        <v>0.067</v>
      </c>
      <c r="M31" s="21" t="n">
        <v>1</v>
      </c>
      <c r="N31" s="21" t="n">
        <v>43822</v>
      </c>
      <c r="O31" s="21" t="n">
        <v>11500</v>
      </c>
      <c r="P31" s="23" t="n">
        <f aca="false">IF(K31="定額",ROUND((I31-M31)/J31/12,0),ROUND(I31*L31/12,0))</f>
        <v>307</v>
      </c>
      <c r="Q31" s="23" t="n">
        <f aca="false">IF(K31="定額",ROUND((I31-M31)/J31/12,0),ROUND(I31*L31/12,0))</f>
        <v>307</v>
      </c>
      <c r="R31" s="23" t="n">
        <f aca="false">IF(K31="定額",ROUND((I31-M31)/J31/12,0),ROUND(I31*L31/12,0))</f>
        <v>307</v>
      </c>
      <c r="S31" s="23" t="n">
        <f aca="false">IF(K31="定額",ROUND((I31-M31)/J31/12,0),ROUND(I31*L31/12,0))</f>
        <v>307</v>
      </c>
      <c r="T31" s="23" t="n">
        <f aca="false">IF(K31="定額",ROUND((I31-M31)/J31/12,0),ROUND(I31*L31/12,0))</f>
        <v>307</v>
      </c>
      <c r="U31" s="23" t="n">
        <f aca="false">IF(K31="定額",ROUND((I31-M31)/J31/12,0),ROUND(I31*L31/12,0))</f>
        <v>307</v>
      </c>
      <c r="V31" s="23" t="n">
        <f aca="false">IF(K31="定額",ROUND((I31-M31)/J31/12,0),ROUND(I31*L31/12,0))</f>
        <v>307</v>
      </c>
      <c r="W31" s="23" t="n">
        <f aca="false">IF(K31="定額",ROUND((I31-M31)/J31/12,0),ROUND(I31*L31/12,0))</f>
        <v>307</v>
      </c>
      <c r="X31" s="23" t="n">
        <f aca="false">IF(K31="定額",ROUND((I31-M31)/J31/12,0),ROUND(I31*L31/12,0))</f>
        <v>307</v>
      </c>
      <c r="Y31" s="23" t="n">
        <f aca="false">IF(K31="定額",ROUND((I31-M31)/J31/12,0),ROUND(I31*L31/12,0))</f>
        <v>307</v>
      </c>
      <c r="Z31" s="23" t="n">
        <f aca="false">IF(K31="定額",ROUND((I31-M31)/J31/12,0),ROUND(I31*L31/12,0))</f>
        <v>307</v>
      </c>
      <c r="AA31" s="23" t="n">
        <f aca="false">IF(K31="定額",ROUND((I31-M31)/J31/12,0),ROUND(I31*L31/12,0))</f>
        <v>307</v>
      </c>
      <c r="AB31" s="24" t="n">
        <f aca="false">SUM(P31:AA31)</f>
        <v>3684</v>
      </c>
      <c r="AC31" s="24" t="n">
        <f aca="false">O31+AB31</f>
        <v>15184</v>
      </c>
      <c r="AD31" s="24" t="n">
        <f aca="false">I31-AC31</f>
        <v>40138</v>
      </c>
      <c r="AE31" s="17" t="s">
        <v>154</v>
      </c>
      <c r="AF31" s="17" t="s">
        <v>155</v>
      </c>
      <c r="AG31" s="19" t="s">
        <v>156</v>
      </c>
      <c r="AH31" s="17" t="s">
        <v>157</v>
      </c>
      <c r="AI31" s="16" t="s">
        <v>285</v>
      </c>
      <c r="AJ31" s="16" t="s">
        <v>104</v>
      </c>
      <c r="AK31" s="16" t="s">
        <v>105</v>
      </c>
      <c r="AL31" s="18" t="s">
        <v>87</v>
      </c>
      <c r="AM31" s="16" t="s">
        <v>90</v>
      </c>
      <c r="AN31" s="20"/>
      <c r="AO31" s="20" t="n">
        <v>45724</v>
      </c>
      <c r="AP31" s="20" t="n">
        <v>46174</v>
      </c>
      <c r="AQ31" s="18" t="s">
        <v>87</v>
      </c>
      <c r="AR31" s="21"/>
      <c r="AS31" s="21"/>
      <c r="AT31" s="21"/>
      <c r="AU31" s="16" t="s">
        <v>286</v>
      </c>
      <c r="AV31" s="16" t="s">
        <v>287</v>
      </c>
      <c r="AW31" s="19" t="s">
        <v>142</v>
      </c>
      <c r="AX31" s="18" t="s">
        <v>116</v>
      </c>
      <c r="AY31" s="18" t="s">
        <v>92</v>
      </c>
      <c r="AZ31" s="20" t="n">
        <v>45882</v>
      </c>
      <c r="BA31" s="17" t="s">
        <v>117</v>
      </c>
      <c r="BB31" s="18" t="s">
        <v>87</v>
      </c>
      <c r="BC31" s="20"/>
      <c r="BD31" s="20"/>
      <c r="BE31" s="21"/>
      <c r="BF31" s="20"/>
      <c r="BG31" s="21"/>
      <c r="BH31" s="21"/>
      <c r="BI31" s="17" t="s">
        <v>164</v>
      </c>
    </row>
    <row r="32" customFormat="false" ht="15" hidden="false" customHeight="true" outlineLevel="0" collapsed="false">
      <c r="A32" s="7" t="s">
        <v>288</v>
      </c>
      <c r="B32" s="10" t="s">
        <v>289</v>
      </c>
      <c r="C32" s="8" t="s">
        <v>199</v>
      </c>
      <c r="D32" s="9" t="s">
        <v>200</v>
      </c>
      <c r="E32" s="10" t="s">
        <v>199</v>
      </c>
      <c r="F32" s="9" t="s">
        <v>90</v>
      </c>
      <c r="G32" s="11" t="n">
        <v>45458</v>
      </c>
      <c r="H32" s="11" t="n">
        <v>45498</v>
      </c>
      <c r="I32" s="12" t="n">
        <v>441084</v>
      </c>
      <c r="J32" s="9" t="n">
        <v>5</v>
      </c>
      <c r="K32" s="8" t="s">
        <v>78</v>
      </c>
      <c r="L32" s="13" t="n">
        <v>0.2</v>
      </c>
      <c r="M32" s="12" t="n">
        <v>1</v>
      </c>
      <c r="N32" s="12" t="n">
        <v>380704</v>
      </c>
      <c r="O32" s="12" t="n">
        <v>60380</v>
      </c>
      <c r="P32" s="14" t="n">
        <f aca="false">IF(K32="定額",ROUND((I32-M32)/J32/12,0),ROUND(I32*L32/12,0))</f>
        <v>7351</v>
      </c>
      <c r="Q32" s="14" t="n">
        <f aca="false">IF(K32="定額",ROUND((I32-M32)/J32/12,0),ROUND(I32*L32/12,0))</f>
        <v>7351</v>
      </c>
      <c r="R32" s="14" t="n">
        <f aca="false">IF(K32="定額",ROUND((I32-M32)/J32/12,0),ROUND(I32*L32/12,0))</f>
        <v>7351</v>
      </c>
      <c r="S32" s="14" t="n">
        <f aca="false">IF(K32="定額",ROUND((I32-M32)/J32/12,0),ROUND(I32*L32/12,0))</f>
        <v>7351</v>
      </c>
      <c r="T32" s="14" t="n">
        <f aca="false">IF(K32="定額",ROUND((I32-M32)/J32/12,0),ROUND(I32*L32/12,0))</f>
        <v>7351</v>
      </c>
      <c r="U32" s="14" t="n">
        <f aca="false">IF(K32="定額",ROUND((I32-M32)/J32/12,0),ROUND(I32*L32/12,0))</f>
        <v>7351</v>
      </c>
      <c r="V32" s="14" t="n">
        <f aca="false">IF(K32="定額",ROUND((I32-M32)/J32/12,0),ROUND(I32*L32/12,0))</f>
        <v>7351</v>
      </c>
      <c r="W32" s="14" t="n">
        <f aca="false">IF(K32="定額",ROUND((I32-M32)/J32/12,0),ROUND(I32*L32/12,0))</f>
        <v>7351</v>
      </c>
      <c r="X32" s="14" t="n">
        <f aca="false">IF(K32="定額",ROUND((I32-M32)/J32/12,0),ROUND(I32*L32/12,0))</f>
        <v>7351</v>
      </c>
      <c r="Y32" s="14" t="n">
        <f aca="false">IF(K32="定額",ROUND((I32-M32)/J32/12,0),ROUND(I32*L32/12,0))</f>
        <v>7351</v>
      </c>
      <c r="Z32" s="14" t="n">
        <f aca="false">IF(K32="定額",ROUND((I32-M32)/J32/12,0),ROUND(I32*L32/12,0))</f>
        <v>7351</v>
      </c>
      <c r="AA32" s="14" t="n">
        <f aca="false">IF(K32="定額",ROUND((I32-M32)/J32/12,0),ROUND(I32*L32/12,0))</f>
        <v>7351</v>
      </c>
      <c r="AB32" s="15" t="n">
        <f aca="false">SUM(P32:AA32)</f>
        <v>88212</v>
      </c>
      <c r="AC32" s="15" t="n">
        <f aca="false">O32+AB32</f>
        <v>148592</v>
      </c>
      <c r="AD32" s="15" t="n">
        <f aca="false">I32-AC32</f>
        <v>292492</v>
      </c>
      <c r="AE32" s="10" t="s">
        <v>154</v>
      </c>
      <c r="AF32" s="10" t="s">
        <v>155</v>
      </c>
      <c r="AG32" s="9" t="s">
        <v>156</v>
      </c>
      <c r="AH32" s="10" t="s">
        <v>157</v>
      </c>
      <c r="AI32" s="7" t="s">
        <v>290</v>
      </c>
      <c r="AJ32" s="10" t="s">
        <v>159</v>
      </c>
      <c r="AK32" s="7" t="s">
        <v>160</v>
      </c>
      <c r="AL32" s="8" t="s">
        <v>86</v>
      </c>
      <c r="AM32" s="10" t="s">
        <v>159</v>
      </c>
      <c r="AN32" s="11" t="n">
        <v>46188</v>
      </c>
      <c r="AO32" s="11" t="n">
        <v>45851</v>
      </c>
      <c r="AP32" s="11" t="n">
        <v>46092</v>
      </c>
      <c r="AQ32" s="8" t="s">
        <v>87</v>
      </c>
      <c r="AR32" s="12"/>
      <c r="AS32" s="12"/>
      <c r="AT32" s="12"/>
      <c r="AU32" s="7" t="s">
        <v>291</v>
      </c>
      <c r="AV32" s="7" t="s">
        <v>292</v>
      </c>
      <c r="AW32" s="9" t="s">
        <v>142</v>
      </c>
      <c r="AX32" s="8" t="s">
        <v>91</v>
      </c>
      <c r="AY32" s="8" t="s">
        <v>180</v>
      </c>
      <c r="AZ32" s="11" t="n">
        <v>45893</v>
      </c>
      <c r="BA32" s="10" t="s">
        <v>293</v>
      </c>
      <c r="BB32" s="8" t="s">
        <v>87</v>
      </c>
      <c r="BC32" s="11"/>
      <c r="BD32" s="11" t="n">
        <v>45894</v>
      </c>
      <c r="BE32" s="12"/>
      <c r="BF32" s="11"/>
      <c r="BG32" s="12"/>
      <c r="BH32" s="12"/>
      <c r="BI32" s="10" t="s">
        <v>149</v>
      </c>
    </row>
    <row r="33" customFormat="false" ht="15" hidden="false" customHeight="true" outlineLevel="0" collapsed="false">
      <c r="A33" s="16" t="s">
        <v>294</v>
      </c>
      <c r="B33" s="16" t="s">
        <v>295</v>
      </c>
      <c r="C33" s="18" t="s">
        <v>199</v>
      </c>
      <c r="D33" s="19" t="s">
        <v>200</v>
      </c>
      <c r="E33" s="17" t="s">
        <v>199</v>
      </c>
      <c r="F33" s="18" t="s">
        <v>77</v>
      </c>
      <c r="G33" s="20" t="n">
        <v>43986</v>
      </c>
      <c r="H33" s="20" t="n">
        <v>44011</v>
      </c>
      <c r="I33" s="21" t="n">
        <v>28650</v>
      </c>
      <c r="J33" s="19" t="n">
        <v>5</v>
      </c>
      <c r="K33" s="18" t="s">
        <v>78</v>
      </c>
      <c r="L33" s="22" t="n">
        <v>0.2</v>
      </c>
      <c r="M33" s="21" t="n">
        <v>1</v>
      </c>
      <c r="N33" s="21" t="n">
        <v>2866</v>
      </c>
      <c r="O33" s="21" t="n">
        <v>25784</v>
      </c>
      <c r="P33" s="23" t="n">
        <f aca="false">IF(K33="定額",ROUND((I33-M33)/J33/12,0),ROUND(I33*L33/12,0))</f>
        <v>477</v>
      </c>
      <c r="Q33" s="23" t="n">
        <f aca="false">IF(K33="定額",ROUND((I33-M33)/J33/12,0),ROUND(I33*L33/12,0))</f>
        <v>477</v>
      </c>
      <c r="R33" s="23" t="n">
        <f aca="false">IF(K33="定額",ROUND((I33-M33)/J33/12,0),ROUND(I33*L33/12,0))</f>
        <v>477</v>
      </c>
      <c r="S33" s="23" t="n">
        <f aca="false">IF(K33="定額",ROUND((I33-M33)/J33/12,0),ROUND(I33*L33/12,0))</f>
        <v>477</v>
      </c>
      <c r="T33" s="23" t="n">
        <f aca="false">IF(K33="定額",ROUND((I33-M33)/J33/12,0),ROUND(I33*L33/12,0))</f>
        <v>477</v>
      </c>
      <c r="U33" s="23" t="n">
        <f aca="false">IF(K33="定額",ROUND((I33-M33)/J33/12,0),ROUND(I33*L33/12,0))</f>
        <v>477</v>
      </c>
      <c r="V33" s="23" t="n">
        <f aca="false">IF(K33="定額",ROUND((I33-M33)/J33/12,0),ROUND(I33*L33/12,0))</f>
        <v>477</v>
      </c>
      <c r="W33" s="23" t="n">
        <f aca="false">IF(K33="定額",ROUND((I33-M33)/J33/12,0),ROUND(I33*L33/12,0))</f>
        <v>477</v>
      </c>
      <c r="X33" s="23" t="n">
        <f aca="false">IF(K33="定額",ROUND((I33-M33)/J33/12,0),ROUND(I33*L33/12,0))</f>
        <v>477</v>
      </c>
      <c r="Y33" s="23" t="n">
        <f aca="false">IF(K33="定額",ROUND((I33-M33)/J33/12,0),ROUND(I33*L33/12,0))</f>
        <v>477</v>
      </c>
      <c r="Z33" s="23" t="n">
        <f aca="false">IF(K33="定額",ROUND((I33-M33)/J33/12,0),ROUND(I33*L33/12,0))</f>
        <v>477</v>
      </c>
      <c r="AA33" s="23" t="n">
        <f aca="false">IF(K33="定額",ROUND((I33-M33)/J33/12,0),ROUND(I33*L33/12,0))</f>
        <v>477</v>
      </c>
      <c r="AB33" s="24" t="n">
        <f aca="false">SUM(P33:AA33)</f>
        <v>5724</v>
      </c>
      <c r="AC33" s="24" t="n">
        <f aca="false">O33+AB33</f>
        <v>31508</v>
      </c>
      <c r="AD33" s="24" t="n">
        <f aca="false">I33-AC33</f>
        <v>-2858</v>
      </c>
      <c r="AE33" s="17" t="s">
        <v>124</v>
      </c>
      <c r="AF33" s="17" t="s">
        <v>125</v>
      </c>
      <c r="AG33" s="19" t="s">
        <v>126</v>
      </c>
      <c r="AH33" s="17" t="s">
        <v>127</v>
      </c>
      <c r="AI33" s="16" t="s">
        <v>296</v>
      </c>
      <c r="AJ33" s="16" t="s">
        <v>84</v>
      </c>
      <c r="AK33" s="16" t="s">
        <v>85</v>
      </c>
      <c r="AL33" s="18" t="s">
        <v>86</v>
      </c>
      <c r="AM33" s="16" t="s">
        <v>84</v>
      </c>
      <c r="AN33" s="20" t="n">
        <v>45081</v>
      </c>
      <c r="AO33" s="20" t="n">
        <v>45737</v>
      </c>
      <c r="AP33" s="20" t="n">
        <v>46182</v>
      </c>
      <c r="AQ33" s="18" t="s">
        <v>87</v>
      </c>
      <c r="AR33" s="21"/>
      <c r="AS33" s="21"/>
      <c r="AT33" s="21"/>
      <c r="AU33" s="16" t="s">
        <v>297</v>
      </c>
      <c r="AV33" s="16" t="s">
        <v>298</v>
      </c>
      <c r="AW33" s="19" t="s">
        <v>142</v>
      </c>
      <c r="AX33" s="18" t="s">
        <v>116</v>
      </c>
      <c r="AY33" s="18" t="s">
        <v>92</v>
      </c>
      <c r="AZ33" s="20" t="n">
        <v>45911</v>
      </c>
      <c r="BA33" s="17" t="s">
        <v>163</v>
      </c>
      <c r="BB33" s="18" t="s">
        <v>87</v>
      </c>
      <c r="BC33" s="20"/>
      <c r="BD33" s="20"/>
      <c r="BE33" s="21"/>
      <c r="BF33" s="20"/>
      <c r="BG33" s="21"/>
      <c r="BH33" s="21"/>
      <c r="BI33" s="17" t="s">
        <v>133</v>
      </c>
    </row>
    <row r="34" customFormat="false" ht="15" hidden="false" customHeight="true" outlineLevel="0" collapsed="false">
      <c r="A34" s="7" t="s">
        <v>299</v>
      </c>
      <c r="B34" s="10" t="s">
        <v>300</v>
      </c>
      <c r="C34" s="8" t="s">
        <v>121</v>
      </c>
      <c r="D34" s="9" t="s">
        <v>122</v>
      </c>
      <c r="E34" s="10" t="s">
        <v>121</v>
      </c>
      <c r="F34" s="8" t="s">
        <v>98</v>
      </c>
      <c r="G34" s="11" t="n">
        <v>44832</v>
      </c>
      <c r="H34" s="11" t="n">
        <v>44870</v>
      </c>
      <c r="I34" s="12" t="n">
        <v>380010</v>
      </c>
      <c r="J34" s="9" t="n">
        <v>6</v>
      </c>
      <c r="K34" s="8" t="s">
        <v>123</v>
      </c>
      <c r="L34" s="13" t="n">
        <v>0.333</v>
      </c>
      <c r="M34" s="12" t="n">
        <v>1</v>
      </c>
      <c r="N34" s="12" t="n">
        <v>75821</v>
      </c>
      <c r="O34" s="12" t="n">
        <v>304189</v>
      </c>
      <c r="P34" s="14" t="n">
        <f aca="false">IF(K34="定額",ROUND((I34-M34)/J34/12,0),ROUND(I34*L34/12,0))</f>
        <v>10545</v>
      </c>
      <c r="Q34" s="14" t="n">
        <f aca="false">IF(K34="定額",ROUND((I34-M34)/J34/12,0),ROUND(I34*L34/12,0))</f>
        <v>10545</v>
      </c>
      <c r="R34" s="14" t="n">
        <f aca="false">IF(K34="定額",ROUND((I34-M34)/J34/12,0),ROUND(I34*L34/12,0))</f>
        <v>10545</v>
      </c>
      <c r="S34" s="14" t="n">
        <f aca="false">IF(K34="定額",ROUND((I34-M34)/J34/12,0),ROUND(I34*L34/12,0))</f>
        <v>10545</v>
      </c>
      <c r="T34" s="14" t="n">
        <f aca="false">IF(K34="定額",ROUND((I34-M34)/J34/12,0),ROUND(I34*L34/12,0))</f>
        <v>10545</v>
      </c>
      <c r="U34" s="14" t="n">
        <f aca="false">IF(K34="定額",ROUND((I34-M34)/J34/12,0),ROUND(I34*L34/12,0))</f>
        <v>10545</v>
      </c>
      <c r="V34" s="14" t="n">
        <f aca="false">IF(K34="定額",ROUND((I34-M34)/J34/12,0),ROUND(I34*L34/12,0))</f>
        <v>10545</v>
      </c>
      <c r="W34" s="14" t="n">
        <f aca="false">IF(K34="定額",ROUND((I34-M34)/J34/12,0),ROUND(I34*L34/12,0))</f>
        <v>10545</v>
      </c>
      <c r="X34" s="14" t="n">
        <f aca="false">IF(K34="定額",ROUND((I34-M34)/J34/12,0),ROUND(I34*L34/12,0))</f>
        <v>10545</v>
      </c>
      <c r="Y34" s="14" t="n">
        <f aca="false">IF(K34="定額",ROUND((I34-M34)/J34/12,0),ROUND(I34*L34/12,0))</f>
        <v>10545</v>
      </c>
      <c r="Z34" s="14" t="n">
        <f aca="false">IF(K34="定額",ROUND((I34-M34)/J34/12,0),ROUND(I34*L34/12,0))</f>
        <v>10545</v>
      </c>
      <c r="AA34" s="14" t="n">
        <f aca="false">IF(K34="定額",ROUND((I34-M34)/J34/12,0),ROUND(I34*L34/12,0))</f>
        <v>10545</v>
      </c>
      <c r="AB34" s="15" t="n">
        <f aca="false">SUM(P34:AA34)</f>
        <v>126540</v>
      </c>
      <c r="AC34" s="15" t="n">
        <f aca="false">O34+AB34</f>
        <v>430729</v>
      </c>
      <c r="AD34" s="15" t="n">
        <f aca="false">I34-AC34</f>
        <v>-50719</v>
      </c>
      <c r="AE34" s="10" t="s">
        <v>79</v>
      </c>
      <c r="AF34" s="10" t="s">
        <v>80</v>
      </c>
      <c r="AG34" s="9" t="s">
        <v>81</v>
      </c>
      <c r="AH34" s="10" t="s">
        <v>82</v>
      </c>
      <c r="AI34" s="7" t="s">
        <v>301</v>
      </c>
      <c r="AJ34" s="7" t="s">
        <v>84</v>
      </c>
      <c r="AK34" s="7" t="s">
        <v>85</v>
      </c>
      <c r="AL34" s="8" t="s">
        <v>86</v>
      </c>
      <c r="AM34" s="7" t="s">
        <v>84</v>
      </c>
      <c r="AN34" s="11" t="n">
        <v>46657</v>
      </c>
      <c r="AO34" s="11" t="n">
        <v>45745</v>
      </c>
      <c r="AP34" s="11" t="n">
        <v>46236</v>
      </c>
      <c r="AQ34" s="8" t="s">
        <v>87</v>
      </c>
      <c r="AR34" s="12"/>
      <c r="AS34" s="12"/>
      <c r="AT34" s="12"/>
      <c r="AU34" s="7" t="s">
        <v>302</v>
      </c>
      <c r="AV34" s="7" t="s">
        <v>303</v>
      </c>
      <c r="AW34" s="9" t="s">
        <v>142</v>
      </c>
      <c r="AX34" s="8" t="s">
        <v>91</v>
      </c>
      <c r="AY34" s="8" t="s">
        <v>92</v>
      </c>
      <c r="AZ34" s="11" t="n">
        <v>45910</v>
      </c>
      <c r="BA34" s="10" t="s">
        <v>109</v>
      </c>
      <c r="BB34" s="8" t="s">
        <v>87</v>
      </c>
      <c r="BC34" s="11"/>
      <c r="BD34" s="11"/>
      <c r="BE34" s="12"/>
      <c r="BF34" s="11"/>
      <c r="BG34" s="12"/>
      <c r="BH34" s="12"/>
      <c r="BI34" s="10" t="s">
        <v>118</v>
      </c>
    </row>
    <row r="35" customFormat="false" ht="15" hidden="false" customHeight="true" outlineLevel="0" collapsed="false">
      <c r="A35" s="16" t="s">
        <v>304</v>
      </c>
      <c r="B35" s="17" t="s">
        <v>305</v>
      </c>
      <c r="C35" s="18" t="s">
        <v>221</v>
      </c>
      <c r="D35" s="19" t="s">
        <v>222</v>
      </c>
      <c r="E35" s="17" t="s">
        <v>221</v>
      </c>
      <c r="F35" s="18" t="s">
        <v>136</v>
      </c>
      <c r="G35" s="20" t="n">
        <v>43597</v>
      </c>
      <c r="H35" s="20" t="n">
        <v>43652</v>
      </c>
      <c r="I35" s="21" t="n">
        <v>45993</v>
      </c>
      <c r="J35" s="19" t="n">
        <v>10</v>
      </c>
      <c r="K35" s="18" t="s">
        <v>123</v>
      </c>
      <c r="L35" s="22" t="n">
        <v>0.2</v>
      </c>
      <c r="M35" s="21" t="n">
        <v>1</v>
      </c>
      <c r="N35" s="21" t="n">
        <v>1</v>
      </c>
      <c r="O35" s="21" t="n">
        <v>45992</v>
      </c>
      <c r="P35" s="23" t="n">
        <f aca="false">IF(K35="定額",ROUND((I35-M35)/J35/12,0),ROUND(I35*L35/12,0))</f>
        <v>767</v>
      </c>
      <c r="Q35" s="23" t="n">
        <f aca="false">IF(K35="定額",ROUND((I35-M35)/J35/12,0),ROUND(I35*L35/12,0))</f>
        <v>767</v>
      </c>
      <c r="R35" s="23" t="n">
        <f aca="false">IF(K35="定額",ROUND((I35-M35)/J35/12,0),ROUND(I35*L35/12,0))</f>
        <v>767</v>
      </c>
      <c r="S35" s="23" t="n">
        <f aca="false">IF(K35="定額",ROUND((I35-M35)/J35/12,0),ROUND(I35*L35/12,0))</f>
        <v>767</v>
      </c>
      <c r="T35" s="23" t="n">
        <f aca="false">IF(K35="定額",ROUND((I35-M35)/J35/12,0),ROUND(I35*L35/12,0))</f>
        <v>767</v>
      </c>
      <c r="U35" s="23" t="n">
        <f aca="false">IF(K35="定額",ROUND((I35-M35)/J35/12,0),ROUND(I35*L35/12,0))</f>
        <v>767</v>
      </c>
      <c r="V35" s="23" t="n">
        <f aca="false">IF(K35="定額",ROUND((I35-M35)/J35/12,0),ROUND(I35*L35/12,0))</f>
        <v>767</v>
      </c>
      <c r="W35" s="23" t="n">
        <f aca="false">IF(K35="定額",ROUND((I35-M35)/J35/12,0),ROUND(I35*L35/12,0))</f>
        <v>767</v>
      </c>
      <c r="X35" s="23" t="n">
        <f aca="false">IF(K35="定額",ROUND((I35-M35)/J35/12,0),ROUND(I35*L35/12,0))</f>
        <v>767</v>
      </c>
      <c r="Y35" s="23" t="n">
        <f aca="false">IF(K35="定額",ROUND((I35-M35)/J35/12,0),ROUND(I35*L35/12,0))</f>
        <v>767</v>
      </c>
      <c r="Z35" s="23" t="n">
        <f aca="false">IF(K35="定額",ROUND((I35-M35)/J35/12,0),ROUND(I35*L35/12,0))</f>
        <v>767</v>
      </c>
      <c r="AA35" s="23" t="n">
        <f aca="false">IF(K35="定額",ROUND((I35-M35)/J35/12,0),ROUND(I35*L35/12,0))</f>
        <v>767</v>
      </c>
      <c r="AB35" s="24" t="n">
        <f aca="false">SUM(P35:AA35)</f>
        <v>9204</v>
      </c>
      <c r="AC35" s="24" t="n">
        <f aca="false">O35+AB35</f>
        <v>55196</v>
      </c>
      <c r="AD35" s="24" t="n">
        <f aca="false">I35-AC35</f>
        <v>-9203</v>
      </c>
      <c r="AE35" s="17" t="s">
        <v>79</v>
      </c>
      <c r="AF35" s="17" t="s">
        <v>306</v>
      </c>
      <c r="AG35" s="19" t="s">
        <v>307</v>
      </c>
      <c r="AH35" s="17" t="s">
        <v>308</v>
      </c>
      <c r="AI35" s="16" t="s">
        <v>309</v>
      </c>
      <c r="AJ35" s="17" t="s">
        <v>138</v>
      </c>
      <c r="AK35" s="16" t="s">
        <v>139</v>
      </c>
      <c r="AL35" s="18" t="s">
        <v>86</v>
      </c>
      <c r="AM35" s="17" t="s">
        <v>138</v>
      </c>
      <c r="AN35" s="20" t="n">
        <v>45422</v>
      </c>
      <c r="AO35" s="20" t="n">
        <v>45785</v>
      </c>
      <c r="AP35" s="20" t="n">
        <v>46235</v>
      </c>
      <c r="AQ35" s="18" t="s">
        <v>87</v>
      </c>
      <c r="AR35" s="21"/>
      <c r="AS35" s="21"/>
      <c r="AT35" s="21"/>
      <c r="AU35" s="16" t="s">
        <v>310</v>
      </c>
      <c r="AV35" s="16" t="s">
        <v>311</v>
      </c>
      <c r="AW35" s="19" t="s">
        <v>142</v>
      </c>
      <c r="AX35" s="18" t="s">
        <v>116</v>
      </c>
      <c r="AY35" s="18" t="s">
        <v>92</v>
      </c>
      <c r="AZ35" s="20"/>
      <c r="BA35" s="17" t="s">
        <v>117</v>
      </c>
      <c r="BB35" s="18" t="s">
        <v>87</v>
      </c>
      <c r="BC35" s="20"/>
      <c r="BD35" s="20"/>
      <c r="BE35" s="21"/>
      <c r="BF35" s="20"/>
      <c r="BG35" s="21"/>
      <c r="BH35" s="21"/>
      <c r="BI35" s="16" t="s">
        <v>90</v>
      </c>
    </row>
    <row r="36" customFormat="false" ht="15" hidden="false" customHeight="true" outlineLevel="0" collapsed="false">
      <c r="A36" s="7" t="s">
        <v>312</v>
      </c>
      <c r="B36" s="7" t="s">
        <v>313</v>
      </c>
      <c r="C36" s="8" t="s">
        <v>75</v>
      </c>
      <c r="D36" s="9" t="s">
        <v>76</v>
      </c>
      <c r="E36" s="10" t="s">
        <v>75</v>
      </c>
      <c r="F36" s="8" t="s">
        <v>77</v>
      </c>
      <c r="G36" s="11" t="n">
        <v>44001</v>
      </c>
      <c r="H36" s="11" t="n">
        <v>44035</v>
      </c>
      <c r="I36" s="12" t="n">
        <v>167864</v>
      </c>
      <c r="J36" s="9" t="n">
        <v>5</v>
      </c>
      <c r="K36" s="8" t="s">
        <v>78</v>
      </c>
      <c r="L36" s="13" t="n">
        <v>0.2</v>
      </c>
      <c r="M36" s="12" t="n">
        <v>1</v>
      </c>
      <c r="N36" s="12" t="n">
        <v>16788</v>
      </c>
      <c r="O36" s="12" t="n">
        <v>151076</v>
      </c>
      <c r="P36" s="14" t="n">
        <f aca="false">IF(K36="定額",ROUND((I36-M36)/J36/12,0),ROUND(I36*L36/12,0))</f>
        <v>2798</v>
      </c>
      <c r="Q36" s="14" t="n">
        <f aca="false">IF(K36="定額",ROUND((I36-M36)/J36/12,0),ROUND(I36*L36/12,0))</f>
        <v>2798</v>
      </c>
      <c r="R36" s="14" t="n">
        <f aca="false">IF(K36="定額",ROUND((I36-M36)/J36/12,0),ROUND(I36*L36/12,0))</f>
        <v>2798</v>
      </c>
      <c r="S36" s="14" t="n">
        <f aca="false">IF(K36="定額",ROUND((I36-M36)/J36/12,0),ROUND(I36*L36/12,0))</f>
        <v>2798</v>
      </c>
      <c r="T36" s="14" t="n">
        <f aca="false">IF(K36="定額",ROUND((I36-M36)/J36/12,0),ROUND(I36*L36/12,0))</f>
        <v>2798</v>
      </c>
      <c r="U36" s="14" t="n">
        <f aca="false">IF(K36="定額",ROUND((I36-M36)/J36/12,0),ROUND(I36*L36/12,0))</f>
        <v>2798</v>
      </c>
      <c r="V36" s="14" t="n">
        <f aca="false">IF(K36="定額",ROUND((I36-M36)/J36/12,0),ROUND(I36*L36/12,0))</f>
        <v>2798</v>
      </c>
      <c r="W36" s="14" t="n">
        <f aca="false">IF(K36="定額",ROUND((I36-M36)/J36/12,0),ROUND(I36*L36/12,0))</f>
        <v>2798</v>
      </c>
      <c r="X36" s="14" t="n">
        <f aca="false">IF(K36="定額",ROUND((I36-M36)/J36/12,0),ROUND(I36*L36/12,0))</f>
        <v>2798</v>
      </c>
      <c r="Y36" s="14" t="n">
        <f aca="false">IF(K36="定額",ROUND((I36-M36)/J36/12,0),ROUND(I36*L36/12,0))</f>
        <v>2798</v>
      </c>
      <c r="Z36" s="14" t="n">
        <f aca="false">IF(K36="定額",ROUND((I36-M36)/J36/12,0),ROUND(I36*L36/12,0))</f>
        <v>2798</v>
      </c>
      <c r="AA36" s="14" t="n">
        <f aca="false">IF(K36="定額",ROUND((I36-M36)/J36/12,0),ROUND(I36*L36/12,0))</f>
        <v>2798</v>
      </c>
      <c r="AB36" s="15" t="n">
        <f aca="false">SUM(P36:AA36)</f>
        <v>33576</v>
      </c>
      <c r="AC36" s="15" t="n">
        <f aca="false">O36+AB36</f>
        <v>184652</v>
      </c>
      <c r="AD36" s="15" t="n">
        <f aca="false">I36-AC36</f>
        <v>-16788</v>
      </c>
      <c r="AE36" s="10" t="s">
        <v>167</v>
      </c>
      <c r="AF36" s="10" t="s">
        <v>168</v>
      </c>
      <c r="AG36" s="9" t="s">
        <v>169</v>
      </c>
      <c r="AH36" s="10" t="s">
        <v>170</v>
      </c>
      <c r="AI36" s="7" t="s">
        <v>314</v>
      </c>
      <c r="AJ36" s="7" t="s">
        <v>104</v>
      </c>
      <c r="AK36" s="7" t="s">
        <v>105</v>
      </c>
      <c r="AL36" s="8" t="s">
        <v>87</v>
      </c>
      <c r="AM36" s="7" t="s">
        <v>90</v>
      </c>
      <c r="AN36" s="11"/>
      <c r="AO36" s="11" t="n">
        <v>45748</v>
      </c>
      <c r="AP36" s="11" t="n">
        <v>46222</v>
      </c>
      <c r="AQ36" s="8" t="s">
        <v>87</v>
      </c>
      <c r="AR36" s="12"/>
      <c r="AS36" s="12"/>
      <c r="AT36" s="12"/>
      <c r="AU36" s="7" t="s">
        <v>315</v>
      </c>
      <c r="AV36" s="7" t="s">
        <v>316</v>
      </c>
      <c r="AW36" s="9" t="s">
        <v>142</v>
      </c>
      <c r="AX36" s="8" t="s">
        <v>108</v>
      </c>
      <c r="AY36" s="8" t="s">
        <v>92</v>
      </c>
      <c r="AZ36" s="11" t="n">
        <v>45943</v>
      </c>
      <c r="BA36" s="10" t="s">
        <v>93</v>
      </c>
      <c r="BB36" s="8" t="s">
        <v>87</v>
      </c>
      <c r="BC36" s="11"/>
      <c r="BD36" s="11"/>
      <c r="BE36" s="12"/>
      <c r="BF36" s="11"/>
      <c r="BG36" s="12"/>
      <c r="BH36" s="12"/>
      <c r="BI36" s="10" t="s">
        <v>118</v>
      </c>
    </row>
    <row r="37" customFormat="false" ht="15" hidden="false" customHeight="true" outlineLevel="0" collapsed="false">
      <c r="A37" s="16" t="s">
        <v>317</v>
      </c>
      <c r="B37" s="17" t="s">
        <v>318</v>
      </c>
      <c r="C37" s="18" t="s">
        <v>121</v>
      </c>
      <c r="D37" s="19" t="s">
        <v>122</v>
      </c>
      <c r="E37" s="17" t="s">
        <v>121</v>
      </c>
      <c r="F37" s="18" t="s">
        <v>77</v>
      </c>
      <c r="G37" s="20" t="n">
        <v>43354</v>
      </c>
      <c r="H37" s="20" t="n">
        <v>43388</v>
      </c>
      <c r="I37" s="21" t="n">
        <v>3140</v>
      </c>
      <c r="J37" s="19" t="n">
        <v>6</v>
      </c>
      <c r="K37" s="18" t="s">
        <v>123</v>
      </c>
      <c r="L37" s="22" t="n">
        <v>0.333</v>
      </c>
      <c r="M37" s="21" t="n">
        <v>1</v>
      </c>
      <c r="N37" s="21" t="n">
        <v>1</v>
      </c>
      <c r="O37" s="21" t="n">
        <v>3139</v>
      </c>
      <c r="P37" s="23" t="n">
        <f aca="false">IF(K37="定額",ROUND((I37-M37)/J37/12,0),ROUND(I37*L37/12,0))</f>
        <v>87</v>
      </c>
      <c r="Q37" s="23" t="n">
        <f aca="false">IF(K37="定額",ROUND((I37-M37)/J37/12,0),ROUND(I37*L37/12,0))</f>
        <v>87</v>
      </c>
      <c r="R37" s="23" t="n">
        <f aca="false">IF(K37="定額",ROUND((I37-M37)/J37/12,0),ROUND(I37*L37/12,0))</f>
        <v>87</v>
      </c>
      <c r="S37" s="23" t="n">
        <f aca="false">IF(K37="定額",ROUND((I37-M37)/J37/12,0),ROUND(I37*L37/12,0))</f>
        <v>87</v>
      </c>
      <c r="T37" s="23" t="n">
        <f aca="false">IF(K37="定額",ROUND((I37-M37)/J37/12,0),ROUND(I37*L37/12,0))</f>
        <v>87</v>
      </c>
      <c r="U37" s="23" t="n">
        <f aca="false">IF(K37="定額",ROUND((I37-M37)/J37/12,0),ROUND(I37*L37/12,0))</f>
        <v>87</v>
      </c>
      <c r="V37" s="23" t="n">
        <f aca="false">IF(K37="定額",ROUND((I37-M37)/J37/12,0),ROUND(I37*L37/12,0))</f>
        <v>87</v>
      </c>
      <c r="W37" s="23" t="n">
        <f aca="false">IF(K37="定額",ROUND((I37-M37)/J37/12,0),ROUND(I37*L37/12,0))</f>
        <v>87</v>
      </c>
      <c r="X37" s="23" t="n">
        <f aca="false">IF(K37="定額",ROUND((I37-M37)/J37/12,0),ROUND(I37*L37/12,0))</f>
        <v>87</v>
      </c>
      <c r="Y37" s="23" t="n">
        <f aca="false">IF(K37="定額",ROUND((I37-M37)/J37/12,0),ROUND(I37*L37/12,0))</f>
        <v>87</v>
      </c>
      <c r="Z37" s="23" t="n">
        <f aca="false">IF(K37="定額",ROUND((I37-M37)/J37/12,0),ROUND(I37*L37/12,0))</f>
        <v>87</v>
      </c>
      <c r="AA37" s="23" t="n">
        <f aca="false">IF(K37="定額",ROUND((I37-M37)/J37/12,0),ROUND(I37*L37/12,0))</f>
        <v>87</v>
      </c>
      <c r="AB37" s="24" t="n">
        <f aca="false">SUM(P37:AA37)</f>
        <v>1044</v>
      </c>
      <c r="AC37" s="24" t="n">
        <f aca="false">O37+AB37</f>
        <v>4183</v>
      </c>
      <c r="AD37" s="24" t="n">
        <f aca="false">I37-AC37</f>
        <v>-1043</v>
      </c>
      <c r="AE37" s="17" t="s">
        <v>79</v>
      </c>
      <c r="AF37" s="17" t="s">
        <v>80</v>
      </c>
      <c r="AG37" s="19" t="s">
        <v>81</v>
      </c>
      <c r="AH37" s="17" t="s">
        <v>82</v>
      </c>
      <c r="AI37" s="16" t="s">
        <v>319</v>
      </c>
      <c r="AJ37" s="17" t="s">
        <v>138</v>
      </c>
      <c r="AK37" s="16" t="s">
        <v>139</v>
      </c>
      <c r="AL37" s="18" t="s">
        <v>87</v>
      </c>
      <c r="AM37" s="16" t="s">
        <v>90</v>
      </c>
      <c r="AN37" s="20"/>
      <c r="AO37" s="20" t="n">
        <v>45753</v>
      </c>
      <c r="AP37" s="20" t="n">
        <v>45951</v>
      </c>
      <c r="AQ37" s="18" t="s">
        <v>87</v>
      </c>
      <c r="AR37" s="21"/>
      <c r="AS37" s="21"/>
      <c r="AT37" s="21"/>
      <c r="AU37" s="16" t="s">
        <v>320</v>
      </c>
      <c r="AV37" s="16" t="s">
        <v>321</v>
      </c>
      <c r="AW37" s="19" t="s">
        <v>90</v>
      </c>
      <c r="AX37" s="18" t="s">
        <v>116</v>
      </c>
      <c r="AY37" s="18" t="s">
        <v>92</v>
      </c>
      <c r="AZ37" s="20" t="n">
        <v>45906</v>
      </c>
      <c r="BA37" s="16" t="s">
        <v>90</v>
      </c>
      <c r="BB37" s="18" t="s">
        <v>87</v>
      </c>
      <c r="BC37" s="20"/>
      <c r="BD37" s="20"/>
      <c r="BE37" s="21"/>
      <c r="BF37" s="20"/>
      <c r="BG37" s="21"/>
      <c r="BH37" s="21"/>
      <c r="BI37" s="17" t="s">
        <v>118</v>
      </c>
    </row>
    <row r="38" customFormat="false" ht="15" hidden="false" customHeight="true" outlineLevel="0" collapsed="false">
      <c r="A38" s="7" t="s">
        <v>322</v>
      </c>
      <c r="B38" s="10" t="s">
        <v>323</v>
      </c>
      <c r="C38" s="8" t="s">
        <v>152</v>
      </c>
      <c r="D38" s="9" t="s">
        <v>153</v>
      </c>
      <c r="E38" s="10" t="s">
        <v>152</v>
      </c>
      <c r="F38" s="9" t="s">
        <v>90</v>
      </c>
      <c r="G38" s="11" t="n">
        <v>44863</v>
      </c>
      <c r="H38" s="11" t="n">
        <v>44891</v>
      </c>
      <c r="I38" s="12" t="n">
        <v>3130</v>
      </c>
      <c r="J38" s="9" t="n">
        <v>30</v>
      </c>
      <c r="K38" s="8" t="s">
        <v>78</v>
      </c>
      <c r="L38" s="13" t="n">
        <v>0.034</v>
      </c>
      <c r="M38" s="12" t="n">
        <v>156</v>
      </c>
      <c r="N38" s="12" t="n">
        <v>2898</v>
      </c>
      <c r="O38" s="12" t="n">
        <v>232</v>
      </c>
      <c r="P38" s="14" t="n">
        <f aca="false">IF(K38="定額",ROUND((I38-M38)/J38/12,0),ROUND(I38*L38/12,0))</f>
        <v>8</v>
      </c>
      <c r="Q38" s="14" t="n">
        <f aca="false">IF(K38="定額",ROUND((I38-M38)/J38/12,0),ROUND(I38*L38/12,0))</f>
        <v>8</v>
      </c>
      <c r="R38" s="14" t="n">
        <f aca="false">IF(K38="定額",ROUND((I38-M38)/J38/12,0),ROUND(I38*L38/12,0))</f>
        <v>8</v>
      </c>
      <c r="S38" s="14" t="n">
        <f aca="false">IF(K38="定額",ROUND((I38-M38)/J38/12,0),ROUND(I38*L38/12,0))</f>
        <v>8</v>
      </c>
      <c r="T38" s="14" t="n">
        <f aca="false">IF(K38="定額",ROUND((I38-M38)/J38/12,0),ROUND(I38*L38/12,0))</f>
        <v>8</v>
      </c>
      <c r="U38" s="14" t="n">
        <f aca="false">IF(K38="定額",ROUND((I38-M38)/J38/12,0),ROUND(I38*L38/12,0))</f>
        <v>8</v>
      </c>
      <c r="V38" s="14" t="n">
        <f aca="false">IF(K38="定額",ROUND((I38-M38)/J38/12,0),ROUND(I38*L38/12,0))</f>
        <v>8</v>
      </c>
      <c r="W38" s="14" t="n">
        <f aca="false">IF(K38="定額",ROUND((I38-M38)/J38/12,0),ROUND(I38*L38/12,0))</f>
        <v>8</v>
      </c>
      <c r="X38" s="14" t="n">
        <f aca="false">IF(K38="定額",ROUND((I38-M38)/J38/12,0),ROUND(I38*L38/12,0))</f>
        <v>8</v>
      </c>
      <c r="Y38" s="14" t="n">
        <f aca="false">IF(K38="定額",ROUND((I38-M38)/J38/12,0),ROUND(I38*L38/12,0))</f>
        <v>8</v>
      </c>
      <c r="Z38" s="14" t="n">
        <f aca="false">IF(K38="定額",ROUND((I38-M38)/J38/12,0),ROUND(I38*L38/12,0))</f>
        <v>8</v>
      </c>
      <c r="AA38" s="14" t="n">
        <f aca="false">IF(K38="定額",ROUND((I38-M38)/J38/12,0),ROUND(I38*L38/12,0))</f>
        <v>8</v>
      </c>
      <c r="AB38" s="15" t="n">
        <f aca="false">SUM(P38:AA38)</f>
        <v>96</v>
      </c>
      <c r="AC38" s="15" t="n">
        <f aca="false">O38+AB38</f>
        <v>328</v>
      </c>
      <c r="AD38" s="15" t="n">
        <f aca="false">I38-AC38</f>
        <v>2802</v>
      </c>
      <c r="AE38" s="10" t="s">
        <v>183</v>
      </c>
      <c r="AF38" s="10" t="s">
        <v>184</v>
      </c>
      <c r="AG38" s="9" t="s">
        <v>185</v>
      </c>
      <c r="AH38" s="10" t="s">
        <v>186</v>
      </c>
      <c r="AI38" s="7" t="s">
        <v>324</v>
      </c>
      <c r="AJ38" s="7" t="s">
        <v>104</v>
      </c>
      <c r="AK38" s="7" t="s">
        <v>105</v>
      </c>
      <c r="AL38" s="8" t="s">
        <v>87</v>
      </c>
      <c r="AM38" s="7" t="s">
        <v>90</v>
      </c>
      <c r="AN38" s="11"/>
      <c r="AO38" s="11" t="n">
        <v>45760</v>
      </c>
      <c r="AP38" s="11" t="n">
        <v>45949</v>
      </c>
      <c r="AQ38" s="8" t="s">
        <v>87</v>
      </c>
      <c r="AR38" s="12"/>
      <c r="AS38" s="12"/>
      <c r="AT38" s="12"/>
      <c r="AU38" s="7" t="s">
        <v>325</v>
      </c>
      <c r="AV38" s="7" t="s">
        <v>326</v>
      </c>
      <c r="AW38" s="9" t="s">
        <v>90</v>
      </c>
      <c r="AX38" s="8" t="s">
        <v>116</v>
      </c>
      <c r="AY38" s="8" t="s">
        <v>92</v>
      </c>
      <c r="AZ38" s="11" t="n">
        <v>45928</v>
      </c>
      <c r="BA38" s="7" t="s">
        <v>90</v>
      </c>
      <c r="BB38" s="8" t="s">
        <v>87</v>
      </c>
      <c r="BC38" s="11"/>
      <c r="BD38" s="11"/>
      <c r="BE38" s="12"/>
      <c r="BF38" s="11"/>
      <c r="BG38" s="12"/>
      <c r="BH38" s="12"/>
      <c r="BI38" s="7" t="s">
        <v>90</v>
      </c>
    </row>
    <row r="39" customFormat="false" ht="15" hidden="false" customHeight="true" outlineLevel="0" collapsed="false">
      <c r="A39" s="16" t="s">
        <v>327</v>
      </c>
      <c r="B39" s="17" t="s">
        <v>328</v>
      </c>
      <c r="C39" s="18" t="s">
        <v>75</v>
      </c>
      <c r="D39" s="19" t="s">
        <v>76</v>
      </c>
      <c r="E39" s="17" t="s">
        <v>75</v>
      </c>
      <c r="F39" s="18" t="s">
        <v>98</v>
      </c>
      <c r="G39" s="20" t="n">
        <v>43413</v>
      </c>
      <c r="H39" s="20" t="n">
        <v>43432</v>
      </c>
      <c r="I39" s="21" t="n">
        <v>28709</v>
      </c>
      <c r="J39" s="19" t="n">
        <v>5</v>
      </c>
      <c r="K39" s="18" t="s">
        <v>78</v>
      </c>
      <c r="L39" s="22" t="n">
        <v>0.2</v>
      </c>
      <c r="M39" s="21" t="n">
        <v>1</v>
      </c>
      <c r="N39" s="21" t="n">
        <v>2872</v>
      </c>
      <c r="O39" s="21" t="n">
        <v>25837</v>
      </c>
      <c r="P39" s="23" t="n">
        <f aca="false">IF(K39="定額",ROUND((I39-M39)/J39/12,0),ROUND(I39*L39/12,0))</f>
        <v>478</v>
      </c>
      <c r="Q39" s="23" t="n">
        <f aca="false">IF(K39="定額",ROUND((I39-M39)/J39/12,0),ROUND(I39*L39/12,0))</f>
        <v>478</v>
      </c>
      <c r="R39" s="23" t="n">
        <f aca="false">IF(K39="定額",ROUND((I39-M39)/J39/12,0),ROUND(I39*L39/12,0))</f>
        <v>478</v>
      </c>
      <c r="S39" s="23" t="n">
        <f aca="false">IF(K39="定額",ROUND((I39-M39)/J39/12,0),ROUND(I39*L39/12,0))</f>
        <v>478</v>
      </c>
      <c r="T39" s="23" t="n">
        <f aca="false">IF(K39="定額",ROUND((I39-M39)/J39/12,0),ROUND(I39*L39/12,0))</f>
        <v>478</v>
      </c>
      <c r="U39" s="23" t="n">
        <f aca="false">IF(K39="定額",ROUND((I39-M39)/J39/12,0),ROUND(I39*L39/12,0))</f>
        <v>478</v>
      </c>
      <c r="V39" s="23" t="n">
        <f aca="false">IF(K39="定額",ROUND((I39-M39)/J39/12,0),ROUND(I39*L39/12,0))</f>
        <v>478</v>
      </c>
      <c r="W39" s="23" t="n">
        <f aca="false">IF(K39="定額",ROUND((I39-M39)/J39/12,0),ROUND(I39*L39/12,0))</f>
        <v>478</v>
      </c>
      <c r="X39" s="23" t="n">
        <f aca="false">IF(K39="定額",ROUND((I39-M39)/J39/12,0),ROUND(I39*L39/12,0))</f>
        <v>478</v>
      </c>
      <c r="Y39" s="23" t="n">
        <f aca="false">IF(K39="定額",ROUND((I39-M39)/J39/12,0),ROUND(I39*L39/12,0))</f>
        <v>478</v>
      </c>
      <c r="Z39" s="23" t="n">
        <f aca="false">IF(K39="定額",ROUND((I39-M39)/J39/12,0),ROUND(I39*L39/12,0))</f>
        <v>478</v>
      </c>
      <c r="AA39" s="23" t="n">
        <f aca="false">IF(K39="定額",ROUND((I39-M39)/J39/12,0),ROUND(I39*L39/12,0))</f>
        <v>478</v>
      </c>
      <c r="AB39" s="24" t="n">
        <f aca="false">SUM(P39:AA39)</f>
        <v>5736</v>
      </c>
      <c r="AC39" s="24" t="n">
        <f aca="false">O39+AB39</f>
        <v>31573</v>
      </c>
      <c r="AD39" s="24" t="n">
        <f aca="false">I39-AC39</f>
        <v>-2864</v>
      </c>
      <c r="AE39" s="17" t="s">
        <v>183</v>
      </c>
      <c r="AF39" s="17" t="s">
        <v>184</v>
      </c>
      <c r="AG39" s="19" t="s">
        <v>185</v>
      </c>
      <c r="AH39" s="17" t="s">
        <v>186</v>
      </c>
      <c r="AI39" s="16" t="s">
        <v>329</v>
      </c>
      <c r="AJ39" s="17" t="s">
        <v>159</v>
      </c>
      <c r="AK39" s="16" t="s">
        <v>160</v>
      </c>
      <c r="AL39" s="18" t="s">
        <v>87</v>
      </c>
      <c r="AM39" s="16" t="s">
        <v>90</v>
      </c>
      <c r="AN39" s="20"/>
      <c r="AO39" s="20" t="n">
        <v>45788</v>
      </c>
      <c r="AP39" s="20" t="n">
        <v>46179</v>
      </c>
      <c r="AQ39" s="18" t="s">
        <v>87</v>
      </c>
      <c r="AR39" s="21"/>
      <c r="AS39" s="21"/>
      <c r="AT39" s="21"/>
      <c r="AU39" s="16" t="s">
        <v>330</v>
      </c>
      <c r="AV39" s="16" t="s">
        <v>331</v>
      </c>
      <c r="AW39" s="19" t="s">
        <v>142</v>
      </c>
      <c r="AX39" s="18" t="s">
        <v>116</v>
      </c>
      <c r="AY39" s="18" t="s">
        <v>92</v>
      </c>
      <c r="AZ39" s="20"/>
      <c r="BA39" s="17" t="s">
        <v>93</v>
      </c>
      <c r="BB39" s="18" t="s">
        <v>87</v>
      </c>
      <c r="BC39" s="20"/>
      <c r="BD39" s="20"/>
      <c r="BE39" s="21"/>
      <c r="BF39" s="20"/>
      <c r="BG39" s="21"/>
      <c r="BH39" s="21"/>
      <c r="BI39" s="17" t="s">
        <v>149</v>
      </c>
    </row>
    <row r="40" customFormat="false" ht="15" hidden="false" customHeight="true" outlineLevel="0" collapsed="false">
      <c r="A40" s="7" t="s">
        <v>332</v>
      </c>
      <c r="B40" s="10" t="s">
        <v>333</v>
      </c>
      <c r="C40" s="8" t="s">
        <v>121</v>
      </c>
      <c r="D40" s="9" t="s">
        <v>122</v>
      </c>
      <c r="E40" s="10" t="s">
        <v>121</v>
      </c>
      <c r="F40" s="8" t="s">
        <v>98</v>
      </c>
      <c r="G40" s="11" t="n">
        <v>43655</v>
      </c>
      <c r="H40" s="11" t="n">
        <v>43691</v>
      </c>
      <c r="I40" s="12" t="n">
        <v>1462</v>
      </c>
      <c r="J40" s="9" t="n">
        <v>6</v>
      </c>
      <c r="K40" s="8" t="s">
        <v>123</v>
      </c>
      <c r="L40" s="13" t="n">
        <v>0.333</v>
      </c>
      <c r="M40" s="12" t="n">
        <v>1</v>
      </c>
      <c r="N40" s="12" t="n">
        <v>1</v>
      </c>
      <c r="O40" s="12" t="n">
        <v>1461</v>
      </c>
      <c r="P40" s="14" t="n">
        <f aca="false">IF(K40="定額",ROUND((I40-M40)/J40/12,0),ROUND(I40*L40/12,0))</f>
        <v>41</v>
      </c>
      <c r="Q40" s="14" t="n">
        <f aca="false">IF(K40="定額",ROUND((I40-M40)/J40/12,0),ROUND(I40*L40/12,0))</f>
        <v>41</v>
      </c>
      <c r="R40" s="14" t="n">
        <f aca="false">IF(K40="定額",ROUND((I40-M40)/J40/12,0),ROUND(I40*L40/12,0))</f>
        <v>41</v>
      </c>
      <c r="S40" s="14" t="n">
        <f aca="false">IF(K40="定額",ROUND((I40-M40)/J40/12,0),ROUND(I40*L40/12,0))</f>
        <v>41</v>
      </c>
      <c r="T40" s="14" t="n">
        <f aca="false">IF(K40="定額",ROUND((I40-M40)/J40/12,0),ROUND(I40*L40/12,0))</f>
        <v>41</v>
      </c>
      <c r="U40" s="14" t="n">
        <f aca="false">IF(K40="定額",ROUND((I40-M40)/J40/12,0),ROUND(I40*L40/12,0))</f>
        <v>41</v>
      </c>
      <c r="V40" s="14" t="n">
        <f aca="false">IF(K40="定額",ROUND((I40-M40)/J40/12,0),ROUND(I40*L40/12,0))</f>
        <v>41</v>
      </c>
      <c r="W40" s="14" t="n">
        <f aca="false">IF(K40="定額",ROUND((I40-M40)/J40/12,0),ROUND(I40*L40/12,0))</f>
        <v>41</v>
      </c>
      <c r="X40" s="14" t="n">
        <f aca="false">IF(K40="定額",ROUND((I40-M40)/J40/12,0),ROUND(I40*L40/12,0))</f>
        <v>41</v>
      </c>
      <c r="Y40" s="14" t="n">
        <f aca="false">IF(K40="定額",ROUND((I40-M40)/J40/12,0),ROUND(I40*L40/12,0))</f>
        <v>41</v>
      </c>
      <c r="Z40" s="14" t="n">
        <f aca="false">IF(K40="定額",ROUND((I40-M40)/J40/12,0),ROUND(I40*L40/12,0))</f>
        <v>41</v>
      </c>
      <c r="AA40" s="14" t="n">
        <f aca="false">IF(K40="定額",ROUND((I40-M40)/J40/12,0),ROUND(I40*L40/12,0))</f>
        <v>41</v>
      </c>
      <c r="AB40" s="15" t="n">
        <f aca="false">SUM(P40:AA40)</f>
        <v>492</v>
      </c>
      <c r="AC40" s="15" t="n">
        <f aca="false">O40+AB40</f>
        <v>1953</v>
      </c>
      <c r="AD40" s="15" t="n">
        <f aca="false">I40-AC40</f>
        <v>-491</v>
      </c>
      <c r="AE40" s="10" t="s">
        <v>79</v>
      </c>
      <c r="AF40" s="10" t="s">
        <v>80</v>
      </c>
      <c r="AG40" s="9" t="s">
        <v>81</v>
      </c>
      <c r="AH40" s="10" t="s">
        <v>82</v>
      </c>
      <c r="AI40" s="7" t="s">
        <v>334</v>
      </c>
      <c r="AJ40" s="10" t="s">
        <v>188</v>
      </c>
      <c r="AK40" s="7" t="s">
        <v>189</v>
      </c>
      <c r="AL40" s="8" t="s">
        <v>87</v>
      </c>
      <c r="AM40" s="7" t="s">
        <v>90</v>
      </c>
      <c r="AN40" s="11"/>
      <c r="AO40" s="11" t="n">
        <v>45838</v>
      </c>
      <c r="AP40" s="11" t="n">
        <v>46164</v>
      </c>
      <c r="AQ40" s="8" t="s">
        <v>87</v>
      </c>
      <c r="AR40" s="12"/>
      <c r="AS40" s="12"/>
      <c r="AT40" s="12"/>
      <c r="AU40" s="7" t="s">
        <v>335</v>
      </c>
      <c r="AV40" s="7" t="s">
        <v>336</v>
      </c>
      <c r="AW40" s="9" t="s">
        <v>90</v>
      </c>
      <c r="AX40" s="8" t="s">
        <v>108</v>
      </c>
      <c r="AY40" s="8" t="s">
        <v>92</v>
      </c>
      <c r="AZ40" s="11" t="n">
        <v>45897</v>
      </c>
      <c r="BA40" s="7" t="s">
        <v>143</v>
      </c>
      <c r="BB40" s="8" t="s">
        <v>87</v>
      </c>
      <c r="BC40" s="11"/>
      <c r="BD40" s="11"/>
      <c r="BE40" s="12"/>
      <c r="BF40" s="11"/>
      <c r="BG40" s="12"/>
      <c r="BH40" s="12"/>
      <c r="BI40" s="10" t="s">
        <v>118</v>
      </c>
    </row>
    <row r="41" customFormat="false" ht="15" hidden="false" customHeight="true" outlineLevel="0" collapsed="false">
      <c r="A41" s="16" t="s">
        <v>337</v>
      </c>
      <c r="B41" s="17" t="s">
        <v>338</v>
      </c>
      <c r="C41" s="18" t="s">
        <v>221</v>
      </c>
      <c r="D41" s="19" t="s">
        <v>222</v>
      </c>
      <c r="E41" s="17" t="s">
        <v>221</v>
      </c>
      <c r="F41" s="19" t="s">
        <v>90</v>
      </c>
      <c r="G41" s="20" t="n">
        <v>44349</v>
      </c>
      <c r="H41" s="20" t="n">
        <v>44402</v>
      </c>
      <c r="I41" s="21" t="n">
        <v>354046</v>
      </c>
      <c r="J41" s="19" t="n">
        <v>10</v>
      </c>
      <c r="K41" s="18" t="s">
        <v>123</v>
      </c>
      <c r="L41" s="22" t="n">
        <v>0.2</v>
      </c>
      <c r="M41" s="21" t="n">
        <v>1</v>
      </c>
      <c r="N41" s="21" t="n">
        <v>93104</v>
      </c>
      <c r="O41" s="21" t="n">
        <v>260942</v>
      </c>
      <c r="P41" s="23" t="n">
        <f aca="false">IF(K41="定額",ROUND((I41-M41)/J41/12,0),ROUND(I41*L41/12,0))</f>
        <v>5901</v>
      </c>
      <c r="Q41" s="23" t="n">
        <f aca="false">IF(K41="定額",ROUND((I41-M41)/J41/12,0),ROUND(I41*L41/12,0))</f>
        <v>5901</v>
      </c>
      <c r="R41" s="23" t="n">
        <f aca="false">IF(K41="定額",ROUND((I41-M41)/J41/12,0),ROUND(I41*L41/12,0))</f>
        <v>5901</v>
      </c>
      <c r="S41" s="23" t="n">
        <f aca="false">IF(K41="定額",ROUND((I41-M41)/J41/12,0),ROUND(I41*L41/12,0))</f>
        <v>5901</v>
      </c>
      <c r="T41" s="23" t="n">
        <f aca="false">IF(K41="定額",ROUND((I41-M41)/J41/12,0),ROUND(I41*L41/12,0))</f>
        <v>5901</v>
      </c>
      <c r="U41" s="23" t="n">
        <f aca="false">IF(K41="定額",ROUND((I41-M41)/J41/12,0),ROUND(I41*L41/12,0))</f>
        <v>5901</v>
      </c>
      <c r="V41" s="23" t="n">
        <f aca="false">IF(K41="定額",ROUND((I41-M41)/J41/12,0),ROUND(I41*L41/12,0))</f>
        <v>5901</v>
      </c>
      <c r="W41" s="23" t="n">
        <f aca="false">IF(K41="定額",ROUND((I41-M41)/J41/12,0),ROUND(I41*L41/12,0))</f>
        <v>5901</v>
      </c>
      <c r="X41" s="23" t="n">
        <f aca="false">IF(K41="定額",ROUND((I41-M41)/J41/12,0),ROUND(I41*L41/12,0))</f>
        <v>5901</v>
      </c>
      <c r="Y41" s="23" t="n">
        <f aca="false">IF(K41="定額",ROUND((I41-M41)/J41/12,0),ROUND(I41*L41/12,0))</f>
        <v>5901</v>
      </c>
      <c r="Z41" s="23" t="n">
        <f aca="false">IF(K41="定額",ROUND((I41-M41)/J41/12,0),ROUND(I41*L41/12,0))</f>
        <v>5901</v>
      </c>
      <c r="AA41" s="23" t="n">
        <f aca="false">IF(K41="定額",ROUND((I41-M41)/J41/12,0),ROUND(I41*L41/12,0))</f>
        <v>5901</v>
      </c>
      <c r="AB41" s="24" t="n">
        <f aca="false">SUM(P41:AA41)</f>
        <v>70812</v>
      </c>
      <c r="AC41" s="24" t="n">
        <f aca="false">O41+AB41</f>
        <v>331754</v>
      </c>
      <c r="AD41" s="24" t="n">
        <f aca="false">I41-AC41</f>
        <v>22292</v>
      </c>
      <c r="AE41" s="17" t="s">
        <v>124</v>
      </c>
      <c r="AF41" s="17" t="s">
        <v>125</v>
      </c>
      <c r="AG41" s="19" t="s">
        <v>126</v>
      </c>
      <c r="AH41" s="17" t="s">
        <v>127</v>
      </c>
      <c r="AI41" s="16" t="s">
        <v>339</v>
      </c>
      <c r="AJ41" s="16" t="s">
        <v>84</v>
      </c>
      <c r="AK41" s="16" t="s">
        <v>85</v>
      </c>
      <c r="AL41" s="18" t="s">
        <v>87</v>
      </c>
      <c r="AM41" s="16" t="s">
        <v>90</v>
      </c>
      <c r="AN41" s="20"/>
      <c r="AO41" s="20" t="n">
        <v>45761</v>
      </c>
      <c r="AP41" s="20" t="n">
        <v>46124</v>
      </c>
      <c r="AQ41" s="18" t="s">
        <v>87</v>
      </c>
      <c r="AR41" s="21"/>
      <c r="AS41" s="21"/>
      <c r="AT41" s="21"/>
      <c r="AU41" s="16" t="s">
        <v>340</v>
      </c>
      <c r="AV41" s="16" t="s">
        <v>341</v>
      </c>
      <c r="AW41" s="19" t="s">
        <v>142</v>
      </c>
      <c r="AX41" s="18" t="s">
        <v>108</v>
      </c>
      <c r="AY41" s="18" t="s">
        <v>180</v>
      </c>
      <c r="AZ41" s="20" t="n">
        <v>45908</v>
      </c>
      <c r="BA41" s="17" t="s">
        <v>109</v>
      </c>
      <c r="BB41" s="18" t="s">
        <v>87</v>
      </c>
      <c r="BC41" s="20"/>
      <c r="BD41" s="20" t="n">
        <v>45758</v>
      </c>
      <c r="BE41" s="21"/>
      <c r="BF41" s="20"/>
      <c r="BG41" s="21"/>
      <c r="BH41" s="21"/>
      <c r="BI41" s="17" t="s">
        <v>164</v>
      </c>
    </row>
    <row r="42" customFormat="false" ht="15" hidden="false" customHeight="true" outlineLevel="0" collapsed="false">
      <c r="A42" s="7" t="s">
        <v>342</v>
      </c>
      <c r="B42" s="10" t="s">
        <v>343</v>
      </c>
      <c r="C42" s="8" t="s">
        <v>121</v>
      </c>
      <c r="D42" s="9" t="s">
        <v>122</v>
      </c>
      <c r="E42" s="10" t="s">
        <v>121</v>
      </c>
      <c r="F42" s="8" t="s">
        <v>77</v>
      </c>
      <c r="G42" s="11" t="n">
        <v>43814</v>
      </c>
      <c r="H42" s="11" t="n">
        <v>43852</v>
      </c>
      <c r="I42" s="12" t="n">
        <v>313345</v>
      </c>
      <c r="J42" s="9" t="n">
        <v>6</v>
      </c>
      <c r="K42" s="8" t="s">
        <v>123</v>
      </c>
      <c r="L42" s="13" t="n">
        <v>0.333</v>
      </c>
      <c r="M42" s="12" t="n">
        <v>1</v>
      </c>
      <c r="N42" s="12" t="n">
        <v>1</v>
      </c>
      <c r="O42" s="12" t="n">
        <v>313344</v>
      </c>
      <c r="P42" s="14" t="n">
        <f aca="false">IF(K42="定額",ROUND((I42-M42)/J42/12,0),ROUND(I42*L42/12,0))</f>
        <v>8695</v>
      </c>
      <c r="Q42" s="14" t="n">
        <f aca="false">IF(K42="定額",ROUND((I42-M42)/J42/12,0),ROUND(I42*L42/12,0))</f>
        <v>8695</v>
      </c>
      <c r="R42" s="14" t="n">
        <f aca="false">IF(K42="定額",ROUND((I42-M42)/J42/12,0),ROUND(I42*L42/12,0))</f>
        <v>8695</v>
      </c>
      <c r="S42" s="14" t="n">
        <f aca="false">IF(K42="定額",ROUND((I42-M42)/J42/12,0),ROUND(I42*L42/12,0))</f>
        <v>8695</v>
      </c>
      <c r="T42" s="14" t="n">
        <f aca="false">IF(K42="定額",ROUND((I42-M42)/J42/12,0),ROUND(I42*L42/12,0))</f>
        <v>8695</v>
      </c>
      <c r="U42" s="14" t="n">
        <f aca="false">IF(K42="定額",ROUND((I42-M42)/J42/12,0),ROUND(I42*L42/12,0))</f>
        <v>8695</v>
      </c>
      <c r="V42" s="14" t="n">
        <f aca="false">IF(K42="定額",ROUND((I42-M42)/J42/12,0),ROUND(I42*L42/12,0))</f>
        <v>8695</v>
      </c>
      <c r="W42" s="14" t="n">
        <f aca="false">IF(K42="定額",ROUND((I42-M42)/J42/12,0),ROUND(I42*L42/12,0))</f>
        <v>8695</v>
      </c>
      <c r="X42" s="14" t="n">
        <f aca="false">IF(K42="定額",ROUND((I42-M42)/J42/12,0),ROUND(I42*L42/12,0))</f>
        <v>8695</v>
      </c>
      <c r="Y42" s="14" t="n">
        <f aca="false">IF(K42="定額",ROUND((I42-M42)/J42/12,0),ROUND(I42*L42/12,0))</f>
        <v>8695</v>
      </c>
      <c r="Z42" s="14" t="n">
        <f aca="false">IF(K42="定額",ROUND((I42-M42)/J42/12,0),ROUND(I42*L42/12,0))</f>
        <v>8695</v>
      </c>
      <c r="AA42" s="14" t="n">
        <f aca="false">IF(K42="定額",ROUND((I42-M42)/J42/12,0),ROUND(I42*L42/12,0))</f>
        <v>8695</v>
      </c>
      <c r="AB42" s="15" t="n">
        <f aca="false">SUM(P42:AA42)</f>
        <v>104340</v>
      </c>
      <c r="AC42" s="15" t="n">
        <f aca="false">O42+AB42</f>
        <v>417684</v>
      </c>
      <c r="AD42" s="15" t="n">
        <f aca="false">I42-AC42</f>
        <v>-104339</v>
      </c>
      <c r="AE42" s="10" t="s">
        <v>99</v>
      </c>
      <c r="AF42" s="10" t="s">
        <v>100</v>
      </c>
      <c r="AG42" s="9" t="s">
        <v>101</v>
      </c>
      <c r="AH42" s="7" t="s">
        <v>102</v>
      </c>
      <c r="AI42" s="7" t="s">
        <v>344</v>
      </c>
      <c r="AJ42" s="10" t="s">
        <v>159</v>
      </c>
      <c r="AK42" s="7" t="s">
        <v>160</v>
      </c>
      <c r="AL42" s="8" t="s">
        <v>86</v>
      </c>
      <c r="AM42" s="10" t="s">
        <v>159</v>
      </c>
      <c r="AN42" s="11" t="n">
        <v>44909</v>
      </c>
      <c r="AO42" s="11" t="n">
        <v>45796</v>
      </c>
      <c r="AP42" s="11" t="n">
        <v>46266</v>
      </c>
      <c r="AQ42" s="8" t="s">
        <v>87</v>
      </c>
      <c r="AR42" s="12"/>
      <c r="AS42" s="12"/>
      <c r="AT42" s="12"/>
      <c r="AU42" s="7" t="s">
        <v>345</v>
      </c>
      <c r="AV42" s="7" t="s">
        <v>346</v>
      </c>
      <c r="AW42" s="9" t="s">
        <v>142</v>
      </c>
      <c r="AX42" s="8" t="s">
        <v>116</v>
      </c>
      <c r="AY42" s="8" t="s">
        <v>92</v>
      </c>
      <c r="AZ42" s="11" t="n">
        <v>45943</v>
      </c>
      <c r="BA42" s="10" t="s">
        <v>117</v>
      </c>
      <c r="BB42" s="8" t="s">
        <v>86</v>
      </c>
      <c r="BC42" s="11" t="n">
        <v>45836</v>
      </c>
      <c r="BD42" s="11"/>
      <c r="BE42" s="12"/>
      <c r="BF42" s="11"/>
      <c r="BG42" s="12"/>
      <c r="BH42" s="12"/>
      <c r="BI42" s="10" t="s">
        <v>164</v>
      </c>
    </row>
    <row r="43" customFormat="false" ht="15" hidden="false" customHeight="true" outlineLevel="0" collapsed="false">
      <c r="A43" s="16" t="s">
        <v>347</v>
      </c>
      <c r="B43" s="17" t="s">
        <v>348</v>
      </c>
      <c r="C43" s="18" t="s">
        <v>199</v>
      </c>
      <c r="D43" s="19" t="s">
        <v>200</v>
      </c>
      <c r="E43" s="17" t="s">
        <v>199</v>
      </c>
      <c r="F43" s="18" t="s">
        <v>77</v>
      </c>
      <c r="G43" s="20" t="n">
        <v>45189</v>
      </c>
      <c r="H43" s="20" t="n">
        <v>45230</v>
      </c>
      <c r="I43" s="21" t="n">
        <v>794</v>
      </c>
      <c r="J43" s="19" t="n">
        <v>5</v>
      </c>
      <c r="K43" s="18" t="s">
        <v>78</v>
      </c>
      <c r="L43" s="22" t="n">
        <v>0.2</v>
      </c>
      <c r="M43" s="21" t="n">
        <v>1</v>
      </c>
      <c r="N43" s="21" t="n">
        <v>570</v>
      </c>
      <c r="O43" s="21" t="n">
        <v>224</v>
      </c>
      <c r="P43" s="23" t="n">
        <f aca="false">IF(K43="定額",ROUND((I43-M43)/J43/12,0),ROUND(I43*L43/12,0))</f>
        <v>13</v>
      </c>
      <c r="Q43" s="23" t="n">
        <f aca="false">IF(K43="定額",ROUND((I43-M43)/J43/12,0),ROUND(I43*L43/12,0))</f>
        <v>13</v>
      </c>
      <c r="R43" s="23" t="n">
        <f aca="false">IF(K43="定額",ROUND((I43-M43)/J43/12,0),ROUND(I43*L43/12,0))</f>
        <v>13</v>
      </c>
      <c r="S43" s="23" t="n">
        <f aca="false">IF(K43="定額",ROUND((I43-M43)/J43/12,0),ROUND(I43*L43/12,0))</f>
        <v>13</v>
      </c>
      <c r="T43" s="23" t="n">
        <f aca="false">IF(K43="定額",ROUND((I43-M43)/J43/12,0),ROUND(I43*L43/12,0))</f>
        <v>13</v>
      </c>
      <c r="U43" s="23" t="n">
        <f aca="false">IF(K43="定額",ROUND((I43-M43)/J43/12,0),ROUND(I43*L43/12,0))</f>
        <v>13</v>
      </c>
      <c r="V43" s="23" t="n">
        <f aca="false">IF(K43="定額",ROUND((I43-M43)/J43/12,0),ROUND(I43*L43/12,0))</f>
        <v>13</v>
      </c>
      <c r="W43" s="23" t="n">
        <f aca="false">IF(K43="定額",ROUND((I43-M43)/J43/12,0),ROUND(I43*L43/12,0))</f>
        <v>13</v>
      </c>
      <c r="X43" s="23" t="n">
        <f aca="false">IF(K43="定額",ROUND((I43-M43)/J43/12,0),ROUND(I43*L43/12,0))</f>
        <v>13</v>
      </c>
      <c r="Y43" s="23" t="n">
        <f aca="false">IF(K43="定額",ROUND((I43-M43)/J43/12,0),ROUND(I43*L43/12,0))</f>
        <v>13</v>
      </c>
      <c r="Z43" s="23" t="n">
        <f aca="false">IF(K43="定額",ROUND((I43-M43)/J43/12,0),ROUND(I43*L43/12,0))</f>
        <v>13</v>
      </c>
      <c r="AA43" s="23" t="n">
        <f aca="false">IF(K43="定額",ROUND((I43-M43)/J43/12,0),ROUND(I43*L43/12,0))</f>
        <v>13</v>
      </c>
      <c r="AB43" s="24" t="n">
        <f aca="false">SUM(P43:AA43)</f>
        <v>156</v>
      </c>
      <c r="AC43" s="24" t="n">
        <f aca="false">O43+AB43</f>
        <v>380</v>
      </c>
      <c r="AD43" s="24" t="n">
        <f aca="false">I43-AC43</f>
        <v>414</v>
      </c>
      <c r="AE43" s="17" t="s">
        <v>99</v>
      </c>
      <c r="AF43" s="17" t="s">
        <v>100</v>
      </c>
      <c r="AG43" s="19" t="s">
        <v>101</v>
      </c>
      <c r="AH43" s="16" t="s">
        <v>102</v>
      </c>
      <c r="AI43" s="16" t="s">
        <v>349</v>
      </c>
      <c r="AJ43" s="16" t="s">
        <v>104</v>
      </c>
      <c r="AK43" s="16" t="s">
        <v>105</v>
      </c>
      <c r="AL43" s="18" t="s">
        <v>87</v>
      </c>
      <c r="AM43" s="16" t="s">
        <v>90</v>
      </c>
      <c r="AN43" s="20"/>
      <c r="AO43" s="20" t="n">
        <v>45875</v>
      </c>
      <c r="AP43" s="20" t="n">
        <v>46158</v>
      </c>
      <c r="AQ43" s="18" t="s">
        <v>87</v>
      </c>
      <c r="AR43" s="21"/>
      <c r="AS43" s="21"/>
      <c r="AT43" s="21"/>
      <c r="AU43" s="16" t="s">
        <v>350</v>
      </c>
      <c r="AV43" s="16" t="s">
        <v>351</v>
      </c>
      <c r="AW43" s="19" t="s">
        <v>90</v>
      </c>
      <c r="AX43" s="18" t="s">
        <v>108</v>
      </c>
      <c r="AY43" s="18" t="s">
        <v>92</v>
      </c>
      <c r="AZ43" s="20" t="n">
        <v>45879</v>
      </c>
      <c r="BA43" s="17" t="s">
        <v>93</v>
      </c>
      <c r="BB43" s="18" t="s">
        <v>87</v>
      </c>
      <c r="BC43" s="20"/>
      <c r="BD43" s="20"/>
      <c r="BE43" s="21"/>
      <c r="BF43" s="20"/>
      <c r="BG43" s="21"/>
      <c r="BH43" s="21"/>
      <c r="BI43" s="17" t="s">
        <v>110</v>
      </c>
    </row>
    <row r="44" customFormat="false" ht="15" hidden="false" customHeight="true" outlineLevel="0" collapsed="false">
      <c r="A44" s="7" t="s">
        <v>352</v>
      </c>
      <c r="B44" s="10" t="s">
        <v>353</v>
      </c>
      <c r="C44" s="8" t="s">
        <v>96</v>
      </c>
      <c r="D44" s="9" t="s">
        <v>97</v>
      </c>
      <c r="E44" s="10" t="s">
        <v>96</v>
      </c>
      <c r="F44" s="8" t="s">
        <v>136</v>
      </c>
      <c r="G44" s="11" t="n">
        <v>43928</v>
      </c>
      <c r="H44" s="11" t="n">
        <v>43945</v>
      </c>
      <c r="I44" s="12" t="n">
        <v>10175</v>
      </c>
      <c r="J44" s="9" t="n">
        <v>15</v>
      </c>
      <c r="K44" s="8" t="s">
        <v>78</v>
      </c>
      <c r="L44" s="13" t="n">
        <v>0.067</v>
      </c>
      <c r="M44" s="12" t="n">
        <v>1</v>
      </c>
      <c r="N44" s="12" t="n">
        <v>6827</v>
      </c>
      <c r="O44" s="12" t="n">
        <v>3348</v>
      </c>
      <c r="P44" s="14" t="n">
        <f aca="false">IF(K44="定額",ROUND((I44-M44)/J44/12,0),ROUND(I44*L44/12,0))</f>
        <v>57</v>
      </c>
      <c r="Q44" s="14" t="n">
        <f aca="false">IF(K44="定額",ROUND((I44-M44)/J44/12,0),ROUND(I44*L44/12,0))</f>
        <v>57</v>
      </c>
      <c r="R44" s="14" t="n">
        <f aca="false">IF(K44="定額",ROUND((I44-M44)/J44/12,0),ROUND(I44*L44/12,0))</f>
        <v>57</v>
      </c>
      <c r="S44" s="14" t="n">
        <f aca="false">IF(K44="定額",ROUND((I44-M44)/J44/12,0),ROUND(I44*L44/12,0))</f>
        <v>57</v>
      </c>
      <c r="T44" s="14" t="n">
        <f aca="false">IF(K44="定額",ROUND((I44-M44)/J44/12,0),ROUND(I44*L44/12,0))</f>
        <v>57</v>
      </c>
      <c r="U44" s="14" t="n">
        <f aca="false">IF(K44="定額",ROUND((I44-M44)/J44/12,0),ROUND(I44*L44/12,0))</f>
        <v>57</v>
      </c>
      <c r="V44" s="14" t="n">
        <f aca="false">IF(K44="定額",ROUND((I44-M44)/J44/12,0),ROUND(I44*L44/12,0))</f>
        <v>57</v>
      </c>
      <c r="W44" s="14" t="n">
        <f aca="false">IF(K44="定額",ROUND((I44-M44)/J44/12,0),ROUND(I44*L44/12,0))</f>
        <v>57</v>
      </c>
      <c r="X44" s="14" t="n">
        <f aca="false">IF(K44="定額",ROUND((I44-M44)/J44/12,0),ROUND(I44*L44/12,0))</f>
        <v>57</v>
      </c>
      <c r="Y44" s="14" t="n">
        <f aca="false">IF(K44="定額",ROUND((I44-M44)/J44/12,0),ROUND(I44*L44/12,0))</f>
        <v>57</v>
      </c>
      <c r="Z44" s="14" t="n">
        <f aca="false">IF(K44="定額",ROUND((I44-M44)/J44/12,0),ROUND(I44*L44/12,0))</f>
        <v>57</v>
      </c>
      <c r="AA44" s="14" t="n">
        <f aca="false">IF(K44="定額",ROUND((I44-M44)/J44/12,0),ROUND(I44*L44/12,0))</f>
        <v>57</v>
      </c>
      <c r="AB44" s="15" t="n">
        <f aca="false">SUM(P44:AA44)</f>
        <v>684</v>
      </c>
      <c r="AC44" s="15" t="n">
        <f aca="false">O44+AB44</f>
        <v>4032</v>
      </c>
      <c r="AD44" s="15" t="n">
        <f aca="false">I44-AC44</f>
        <v>6143</v>
      </c>
      <c r="AE44" s="10" t="s">
        <v>99</v>
      </c>
      <c r="AF44" s="10" t="s">
        <v>100</v>
      </c>
      <c r="AG44" s="9" t="s">
        <v>101</v>
      </c>
      <c r="AH44" s="7" t="s">
        <v>102</v>
      </c>
      <c r="AI44" s="7" t="s">
        <v>354</v>
      </c>
      <c r="AJ44" s="10" t="s">
        <v>138</v>
      </c>
      <c r="AK44" s="7" t="s">
        <v>139</v>
      </c>
      <c r="AL44" s="8" t="s">
        <v>87</v>
      </c>
      <c r="AM44" s="7" t="s">
        <v>90</v>
      </c>
      <c r="AN44" s="11"/>
      <c r="AO44" s="11" t="n">
        <v>45783</v>
      </c>
      <c r="AP44" s="11" t="n">
        <v>46061</v>
      </c>
      <c r="AQ44" s="8" t="s">
        <v>87</v>
      </c>
      <c r="AR44" s="12"/>
      <c r="AS44" s="12"/>
      <c r="AT44" s="12"/>
      <c r="AU44" s="7" t="s">
        <v>355</v>
      </c>
      <c r="AV44" s="7" t="s">
        <v>356</v>
      </c>
      <c r="AW44" s="9" t="s">
        <v>142</v>
      </c>
      <c r="AX44" s="8" t="s">
        <v>116</v>
      </c>
      <c r="AY44" s="8" t="s">
        <v>180</v>
      </c>
      <c r="AZ44" s="11" t="n">
        <v>45884</v>
      </c>
      <c r="BA44" s="10" t="s">
        <v>93</v>
      </c>
      <c r="BB44" s="8" t="s">
        <v>87</v>
      </c>
      <c r="BC44" s="11"/>
      <c r="BD44" s="11" t="n">
        <v>45829</v>
      </c>
      <c r="BE44" s="12"/>
      <c r="BF44" s="11"/>
      <c r="BG44" s="12"/>
      <c r="BH44" s="12"/>
      <c r="BI44" s="10" t="s">
        <v>118</v>
      </c>
    </row>
    <row r="45" customFormat="false" ht="15" hidden="false" customHeight="true" outlineLevel="0" collapsed="false">
      <c r="A45" s="16" t="s">
        <v>357</v>
      </c>
      <c r="B45" s="17" t="s">
        <v>358</v>
      </c>
      <c r="C45" s="18" t="s">
        <v>75</v>
      </c>
      <c r="D45" s="19" t="s">
        <v>76</v>
      </c>
      <c r="E45" s="17" t="s">
        <v>75</v>
      </c>
      <c r="F45" s="18" t="s">
        <v>98</v>
      </c>
      <c r="G45" s="20" t="n">
        <v>44428</v>
      </c>
      <c r="H45" s="20" t="n">
        <v>44447</v>
      </c>
      <c r="I45" s="21" t="n">
        <v>3651</v>
      </c>
      <c r="J45" s="19" t="n">
        <v>5</v>
      </c>
      <c r="K45" s="18" t="s">
        <v>78</v>
      </c>
      <c r="L45" s="22" t="n">
        <v>0.2</v>
      </c>
      <c r="M45" s="21" t="n">
        <v>1</v>
      </c>
      <c r="N45" s="21" t="n">
        <v>1051</v>
      </c>
      <c r="O45" s="21" t="n">
        <v>2600</v>
      </c>
      <c r="P45" s="23" t="n">
        <f aca="false">IF(K45="定額",ROUND((I45-M45)/J45/12,0),ROUND(I45*L45/12,0))</f>
        <v>61</v>
      </c>
      <c r="Q45" s="23" t="n">
        <f aca="false">IF(K45="定額",ROUND((I45-M45)/J45/12,0),ROUND(I45*L45/12,0))</f>
        <v>61</v>
      </c>
      <c r="R45" s="23" t="n">
        <f aca="false">IF(K45="定額",ROUND((I45-M45)/J45/12,0),ROUND(I45*L45/12,0))</f>
        <v>61</v>
      </c>
      <c r="S45" s="23" t="n">
        <f aca="false">IF(K45="定額",ROUND((I45-M45)/J45/12,0),ROUND(I45*L45/12,0))</f>
        <v>61</v>
      </c>
      <c r="T45" s="23" t="n">
        <f aca="false">IF(K45="定額",ROUND((I45-M45)/J45/12,0),ROUND(I45*L45/12,0))</f>
        <v>61</v>
      </c>
      <c r="U45" s="23" t="n">
        <f aca="false">IF(K45="定額",ROUND((I45-M45)/J45/12,0),ROUND(I45*L45/12,0))</f>
        <v>61</v>
      </c>
      <c r="V45" s="23" t="n">
        <f aca="false">IF(K45="定額",ROUND((I45-M45)/J45/12,0),ROUND(I45*L45/12,0))</f>
        <v>61</v>
      </c>
      <c r="W45" s="23" t="n">
        <f aca="false">IF(K45="定額",ROUND((I45-M45)/J45/12,0),ROUND(I45*L45/12,0))</f>
        <v>61</v>
      </c>
      <c r="X45" s="23" t="n">
        <f aca="false">IF(K45="定額",ROUND((I45-M45)/J45/12,0),ROUND(I45*L45/12,0))</f>
        <v>61</v>
      </c>
      <c r="Y45" s="23" t="n">
        <f aca="false">IF(K45="定額",ROUND((I45-M45)/J45/12,0),ROUND(I45*L45/12,0))</f>
        <v>61</v>
      </c>
      <c r="Z45" s="23" t="n">
        <f aca="false">IF(K45="定額",ROUND((I45-M45)/J45/12,0),ROUND(I45*L45/12,0))</f>
        <v>61</v>
      </c>
      <c r="AA45" s="23" t="n">
        <f aca="false">IF(K45="定額",ROUND((I45-M45)/J45/12,0),ROUND(I45*L45/12,0))</f>
        <v>61</v>
      </c>
      <c r="AB45" s="24" t="n">
        <f aca="false">SUM(P45:AA45)</f>
        <v>732</v>
      </c>
      <c r="AC45" s="24" t="n">
        <f aca="false">O45+AB45</f>
        <v>3332</v>
      </c>
      <c r="AD45" s="24" t="n">
        <f aca="false">I45-AC45</f>
        <v>319</v>
      </c>
      <c r="AE45" s="17" t="s">
        <v>124</v>
      </c>
      <c r="AF45" s="17" t="s">
        <v>125</v>
      </c>
      <c r="AG45" s="19" t="s">
        <v>126</v>
      </c>
      <c r="AH45" s="17" t="s">
        <v>127</v>
      </c>
      <c r="AI45" s="16" t="s">
        <v>359</v>
      </c>
      <c r="AJ45" s="17" t="s">
        <v>159</v>
      </c>
      <c r="AK45" s="16" t="s">
        <v>160</v>
      </c>
      <c r="AL45" s="18" t="s">
        <v>86</v>
      </c>
      <c r="AM45" s="17" t="s">
        <v>159</v>
      </c>
      <c r="AN45" s="20" t="n">
        <v>46983</v>
      </c>
      <c r="AO45" s="20" t="n">
        <v>45799</v>
      </c>
      <c r="AP45" s="20" t="n">
        <v>46071</v>
      </c>
      <c r="AQ45" s="18" t="s">
        <v>86</v>
      </c>
      <c r="AR45" s="21" t="n">
        <v>829</v>
      </c>
      <c r="AS45" s="21" t="n">
        <v>222</v>
      </c>
      <c r="AT45" s="21" t="n">
        <v>829</v>
      </c>
      <c r="AU45" s="16" t="s">
        <v>360</v>
      </c>
      <c r="AV45" s="16" t="s">
        <v>361</v>
      </c>
      <c r="AW45" s="19" t="s">
        <v>90</v>
      </c>
      <c r="AX45" s="18" t="s">
        <v>116</v>
      </c>
      <c r="AY45" s="18" t="s">
        <v>218</v>
      </c>
      <c r="AZ45" s="20" t="n">
        <v>45925</v>
      </c>
      <c r="BA45" s="17" t="s">
        <v>109</v>
      </c>
      <c r="BB45" s="18" t="s">
        <v>87</v>
      </c>
      <c r="BC45" s="20"/>
      <c r="BD45" s="20"/>
      <c r="BE45" s="21" t="n">
        <v>1137</v>
      </c>
      <c r="BF45" s="20" t="n">
        <v>45816</v>
      </c>
      <c r="BG45" s="21" t="n">
        <v>1137</v>
      </c>
      <c r="BH45" s="24" t="n">
        <f aca="false">BG45-AD45</f>
        <v>818</v>
      </c>
      <c r="BI45" s="17" t="s">
        <v>149</v>
      </c>
    </row>
    <row r="46" customFormat="false" ht="15" hidden="false" customHeight="true" outlineLevel="0" collapsed="false">
      <c r="A46" s="7" t="s">
        <v>362</v>
      </c>
      <c r="B46" s="10" t="s">
        <v>363</v>
      </c>
      <c r="C46" s="8" t="s">
        <v>221</v>
      </c>
      <c r="D46" s="9" t="s">
        <v>222</v>
      </c>
      <c r="E46" s="10" t="s">
        <v>221</v>
      </c>
      <c r="F46" s="8" t="s">
        <v>136</v>
      </c>
      <c r="G46" s="11" t="n">
        <v>43588</v>
      </c>
      <c r="H46" s="11" t="n">
        <v>43635</v>
      </c>
      <c r="I46" s="12" t="n">
        <v>25246</v>
      </c>
      <c r="J46" s="9" t="n">
        <v>10</v>
      </c>
      <c r="K46" s="8" t="s">
        <v>123</v>
      </c>
      <c r="L46" s="13" t="n">
        <v>0.2</v>
      </c>
      <c r="M46" s="12" t="n">
        <v>1</v>
      </c>
      <c r="N46" s="12" t="n">
        <v>1</v>
      </c>
      <c r="O46" s="12" t="n">
        <v>25245</v>
      </c>
      <c r="P46" s="14" t="n">
        <f aca="false">IF(K46="定額",ROUND((I46-M46)/J46/12,0),ROUND(I46*L46/12,0))</f>
        <v>421</v>
      </c>
      <c r="Q46" s="14" t="n">
        <f aca="false">IF(K46="定額",ROUND((I46-M46)/J46/12,0),ROUND(I46*L46/12,0))</f>
        <v>421</v>
      </c>
      <c r="R46" s="14" t="n">
        <f aca="false">IF(K46="定額",ROUND((I46-M46)/J46/12,0),ROUND(I46*L46/12,0))</f>
        <v>421</v>
      </c>
      <c r="S46" s="14" t="n">
        <f aca="false">IF(K46="定額",ROUND((I46-M46)/J46/12,0),ROUND(I46*L46/12,0))</f>
        <v>421</v>
      </c>
      <c r="T46" s="14" t="n">
        <f aca="false">IF(K46="定額",ROUND((I46-M46)/J46/12,0),ROUND(I46*L46/12,0))</f>
        <v>421</v>
      </c>
      <c r="U46" s="14" t="n">
        <f aca="false">IF(K46="定額",ROUND((I46-M46)/J46/12,0),ROUND(I46*L46/12,0))</f>
        <v>421</v>
      </c>
      <c r="V46" s="14" t="n">
        <f aca="false">IF(K46="定額",ROUND((I46-M46)/J46/12,0),ROUND(I46*L46/12,0))</f>
        <v>421</v>
      </c>
      <c r="W46" s="14" t="n">
        <f aca="false">IF(K46="定額",ROUND((I46-M46)/J46/12,0),ROUND(I46*L46/12,0))</f>
        <v>421</v>
      </c>
      <c r="X46" s="14" t="n">
        <f aca="false">IF(K46="定額",ROUND((I46-M46)/J46/12,0),ROUND(I46*L46/12,0))</f>
        <v>421</v>
      </c>
      <c r="Y46" s="14" t="n">
        <f aca="false">IF(K46="定額",ROUND((I46-M46)/J46/12,0),ROUND(I46*L46/12,0))</f>
        <v>421</v>
      </c>
      <c r="Z46" s="14" t="n">
        <f aca="false">IF(K46="定額",ROUND((I46-M46)/J46/12,0),ROUND(I46*L46/12,0))</f>
        <v>421</v>
      </c>
      <c r="AA46" s="14" t="n">
        <f aca="false">IF(K46="定額",ROUND((I46-M46)/J46/12,0),ROUND(I46*L46/12,0))</f>
        <v>421</v>
      </c>
      <c r="AB46" s="15" t="n">
        <f aca="false">SUM(P46:AA46)</f>
        <v>5052</v>
      </c>
      <c r="AC46" s="15" t="n">
        <f aca="false">O46+AB46</f>
        <v>30297</v>
      </c>
      <c r="AD46" s="15" t="n">
        <f aca="false">I46-AC46</f>
        <v>-5051</v>
      </c>
      <c r="AE46" s="10" t="s">
        <v>167</v>
      </c>
      <c r="AF46" s="10" t="s">
        <v>277</v>
      </c>
      <c r="AG46" s="9" t="s">
        <v>278</v>
      </c>
      <c r="AH46" s="10" t="s">
        <v>279</v>
      </c>
      <c r="AI46" s="7" t="s">
        <v>364</v>
      </c>
      <c r="AJ46" s="7" t="s">
        <v>129</v>
      </c>
      <c r="AK46" s="7" t="s">
        <v>130</v>
      </c>
      <c r="AL46" s="8" t="s">
        <v>86</v>
      </c>
      <c r="AM46" s="7" t="s">
        <v>129</v>
      </c>
      <c r="AN46" s="11" t="n">
        <v>45413</v>
      </c>
      <c r="AO46" s="11" t="n">
        <v>45856</v>
      </c>
      <c r="AP46" s="11" t="n">
        <v>46033</v>
      </c>
      <c r="AQ46" s="8" t="s">
        <v>87</v>
      </c>
      <c r="AR46" s="12"/>
      <c r="AS46" s="12"/>
      <c r="AT46" s="12"/>
      <c r="AU46" s="7" t="s">
        <v>365</v>
      </c>
      <c r="AV46" s="7" t="s">
        <v>366</v>
      </c>
      <c r="AW46" s="9" t="s">
        <v>142</v>
      </c>
      <c r="AX46" s="8" t="s">
        <v>116</v>
      </c>
      <c r="AY46" s="8" t="s">
        <v>92</v>
      </c>
      <c r="AZ46" s="11" t="n">
        <v>45927</v>
      </c>
      <c r="BA46" s="10" t="s">
        <v>163</v>
      </c>
      <c r="BB46" s="8" t="s">
        <v>87</v>
      </c>
      <c r="BC46" s="11"/>
      <c r="BD46" s="11"/>
      <c r="BE46" s="12"/>
      <c r="BF46" s="11"/>
      <c r="BG46" s="12"/>
      <c r="BH46" s="12"/>
      <c r="BI46" s="10" t="s">
        <v>118</v>
      </c>
    </row>
    <row r="47" customFormat="false" ht="15" hidden="false" customHeight="true" outlineLevel="0" collapsed="false">
      <c r="A47" s="16" t="s">
        <v>367</v>
      </c>
      <c r="B47" s="17" t="s">
        <v>368</v>
      </c>
      <c r="C47" s="18" t="s">
        <v>221</v>
      </c>
      <c r="D47" s="19" t="s">
        <v>222</v>
      </c>
      <c r="E47" s="17" t="s">
        <v>221</v>
      </c>
      <c r="F47" s="19" t="s">
        <v>90</v>
      </c>
      <c r="G47" s="20" t="n">
        <v>45109</v>
      </c>
      <c r="H47" s="20" t="n">
        <v>45120</v>
      </c>
      <c r="I47" s="21" t="n">
        <v>404588</v>
      </c>
      <c r="J47" s="19" t="n">
        <v>10</v>
      </c>
      <c r="K47" s="18" t="s">
        <v>123</v>
      </c>
      <c r="L47" s="22" t="n">
        <v>0.2</v>
      </c>
      <c r="M47" s="21" t="n">
        <v>1</v>
      </c>
      <c r="N47" s="21" t="n">
        <v>265461</v>
      </c>
      <c r="O47" s="21" t="n">
        <v>139127</v>
      </c>
      <c r="P47" s="23" t="n">
        <f aca="false">IF(K47="定額",ROUND((I47-M47)/J47/12,0),ROUND(I47*L47/12,0))</f>
        <v>6743</v>
      </c>
      <c r="Q47" s="23" t="n">
        <f aca="false">IF(K47="定額",ROUND((I47-M47)/J47/12,0),ROUND(I47*L47/12,0))</f>
        <v>6743</v>
      </c>
      <c r="R47" s="23" t="n">
        <f aca="false">IF(K47="定額",ROUND((I47-M47)/J47/12,0),ROUND(I47*L47/12,0))</f>
        <v>6743</v>
      </c>
      <c r="S47" s="23" t="n">
        <f aca="false">IF(K47="定額",ROUND((I47-M47)/J47/12,0),ROUND(I47*L47/12,0))</f>
        <v>6743</v>
      </c>
      <c r="T47" s="23" t="n">
        <f aca="false">IF(K47="定額",ROUND((I47-M47)/J47/12,0),ROUND(I47*L47/12,0))</f>
        <v>6743</v>
      </c>
      <c r="U47" s="23" t="n">
        <f aca="false">IF(K47="定額",ROUND((I47-M47)/J47/12,0),ROUND(I47*L47/12,0))</f>
        <v>6743</v>
      </c>
      <c r="V47" s="23" t="n">
        <f aca="false">IF(K47="定額",ROUND((I47-M47)/J47/12,0),ROUND(I47*L47/12,0))</f>
        <v>6743</v>
      </c>
      <c r="W47" s="23" t="n">
        <f aca="false">IF(K47="定額",ROUND((I47-M47)/J47/12,0),ROUND(I47*L47/12,0))</f>
        <v>6743</v>
      </c>
      <c r="X47" s="23" t="n">
        <f aca="false">IF(K47="定額",ROUND((I47-M47)/J47/12,0),ROUND(I47*L47/12,0))</f>
        <v>6743</v>
      </c>
      <c r="Y47" s="23" t="n">
        <f aca="false">IF(K47="定額",ROUND((I47-M47)/J47/12,0),ROUND(I47*L47/12,0))</f>
        <v>6743</v>
      </c>
      <c r="Z47" s="23" t="n">
        <f aca="false">IF(K47="定額",ROUND((I47-M47)/J47/12,0),ROUND(I47*L47/12,0))</f>
        <v>6743</v>
      </c>
      <c r="AA47" s="23" t="n">
        <f aca="false">IF(K47="定額",ROUND((I47-M47)/J47/12,0),ROUND(I47*L47/12,0))</f>
        <v>6743</v>
      </c>
      <c r="AB47" s="24" t="n">
        <f aca="false">SUM(P47:AA47)</f>
        <v>80916</v>
      </c>
      <c r="AC47" s="24" t="n">
        <f aca="false">O47+AB47</f>
        <v>220043</v>
      </c>
      <c r="AD47" s="24" t="n">
        <f aca="false">I47-AC47</f>
        <v>184545</v>
      </c>
      <c r="AE47" s="17" t="s">
        <v>154</v>
      </c>
      <c r="AF47" s="17" t="s">
        <v>155</v>
      </c>
      <c r="AG47" s="19" t="s">
        <v>156</v>
      </c>
      <c r="AH47" s="17" t="s">
        <v>157</v>
      </c>
      <c r="AI47" s="16" t="s">
        <v>369</v>
      </c>
      <c r="AJ47" s="16" t="s">
        <v>84</v>
      </c>
      <c r="AK47" s="16" t="s">
        <v>85</v>
      </c>
      <c r="AL47" s="18" t="s">
        <v>87</v>
      </c>
      <c r="AM47" s="16" t="s">
        <v>90</v>
      </c>
      <c r="AN47" s="20"/>
      <c r="AO47" s="20" t="n">
        <v>45784</v>
      </c>
      <c r="AP47" s="20" t="n">
        <v>46119</v>
      </c>
      <c r="AQ47" s="18" t="s">
        <v>87</v>
      </c>
      <c r="AR47" s="21"/>
      <c r="AS47" s="21"/>
      <c r="AT47" s="21"/>
      <c r="AU47" s="16" t="s">
        <v>370</v>
      </c>
      <c r="AV47" s="16" t="s">
        <v>371</v>
      </c>
      <c r="AW47" s="19" t="s">
        <v>142</v>
      </c>
      <c r="AX47" s="18" t="s">
        <v>116</v>
      </c>
      <c r="AY47" s="18" t="s">
        <v>92</v>
      </c>
      <c r="AZ47" s="20" t="n">
        <v>45942</v>
      </c>
      <c r="BA47" s="16" t="s">
        <v>143</v>
      </c>
      <c r="BB47" s="18" t="s">
        <v>87</v>
      </c>
      <c r="BC47" s="20"/>
      <c r="BD47" s="20"/>
      <c r="BE47" s="21"/>
      <c r="BF47" s="20"/>
      <c r="BG47" s="21"/>
      <c r="BH47" s="21"/>
      <c r="BI47" s="17" t="s">
        <v>118</v>
      </c>
    </row>
    <row r="48" customFormat="false" ht="15" hidden="false" customHeight="true" outlineLevel="0" collapsed="false">
      <c r="A48" s="7" t="s">
        <v>372</v>
      </c>
      <c r="B48" s="10" t="s">
        <v>373</v>
      </c>
      <c r="C48" s="8" t="s">
        <v>152</v>
      </c>
      <c r="D48" s="9" t="s">
        <v>153</v>
      </c>
      <c r="E48" s="10" t="s">
        <v>152</v>
      </c>
      <c r="F48" s="8" t="s">
        <v>136</v>
      </c>
      <c r="G48" s="11" t="n">
        <v>44097</v>
      </c>
      <c r="H48" s="11" t="n">
        <v>44145</v>
      </c>
      <c r="I48" s="12" t="n">
        <v>46641</v>
      </c>
      <c r="J48" s="9" t="n">
        <v>30</v>
      </c>
      <c r="K48" s="8" t="s">
        <v>78</v>
      </c>
      <c r="L48" s="13" t="n">
        <v>0.034</v>
      </c>
      <c r="M48" s="12" t="n">
        <v>2332</v>
      </c>
      <c r="N48" s="12" t="n">
        <v>40159</v>
      </c>
      <c r="O48" s="12" t="n">
        <v>6482</v>
      </c>
      <c r="P48" s="14" t="n">
        <f aca="false">IF(K48="定額",ROUND((I48-M48)/J48/12,0),ROUND(I48*L48/12,0))</f>
        <v>123</v>
      </c>
      <c r="Q48" s="14" t="n">
        <f aca="false">IF(K48="定額",ROUND((I48-M48)/J48/12,0),ROUND(I48*L48/12,0))</f>
        <v>123</v>
      </c>
      <c r="R48" s="14" t="n">
        <f aca="false">IF(K48="定額",ROUND((I48-M48)/J48/12,0),ROUND(I48*L48/12,0))</f>
        <v>123</v>
      </c>
      <c r="S48" s="14" t="n">
        <f aca="false">IF(K48="定額",ROUND((I48-M48)/J48/12,0),ROUND(I48*L48/12,0))</f>
        <v>123</v>
      </c>
      <c r="T48" s="14" t="n">
        <f aca="false">IF(K48="定額",ROUND((I48-M48)/J48/12,0),ROUND(I48*L48/12,0))</f>
        <v>123</v>
      </c>
      <c r="U48" s="14" t="n">
        <f aca="false">IF(K48="定額",ROUND((I48-M48)/J48/12,0),ROUND(I48*L48/12,0))</f>
        <v>123</v>
      </c>
      <c r="V48" s="14" t="n">
        <f aca="false">IF(K48="定額",ROUND((I48-M48)/J48/12,0),ROUND(I48*L48/12,0))</f>
        <v>123</v>
      </c>
      <c r="W48" s="14" t="n">
        <f aca="false">IF(K48="定額",ROUND((I48-M48)/J48/12,0),ROUND(I48*L48/12,0))</f>
        <v>123</v>
      </c>
      <c r="X48" s="14" t="n">
        <f aca="false">IF(K48="定額",ROUND((I48-M48)/J48/12,0),ROUND(I48*L48/12,0))</f>
        <v>123</v>
      </c>
      <c r="Y48" s="14" t="n">
        <f aca="false">IF(K48="定額",ROUND((I48-M48)/J48/12,0),ROUND(I48*L48/12,0))</f>
        <v>123</v>
      </c>
      <c r="Z48" s="14" t="n">
        <f aca="false">IF(K48="定額",ROUND((I48-M48)/J48/12,0),ROUND(I48*L48/12,0))</f>
        <v>123</v>
      </c>
      <c r="AA48" s="14" t="n">
        <f aca="false">IF(K48="定額",ROUND((I48-M48)/J48/12,0),ROUND(I48*L48/12,0))</f>
        <v>123</v>
      </c>
      <c r="AB48" s="15" t="n">
        <f aca="false">SUM(P48:AA48)</f>
        <v>1476</v>
      </c>
      <c r="AC48" s="15" t="n">
        <f aca="false">O48+AB48</f>
        <v>7958</v>
      </c>
      <c r="AD48" s="15" t="n">
        <f aca="false">I48-AC48</f>
        <v>38683</v>
      </c>
      <c r="AE48" s="10" t="s">
        <v>154</v>
      </c>
      <c r="AF48" s="10" t="s">
        <v>155</v>
      </c>
      <c r="AG48" s="9" t="s">
        <v>156</v>
      </c>
      <c r="AH48" s="10" t="s">
        <v>157</v>
      </c>
      <c r="AI48" s="7" t="s">
        <v>374</v>
      </c>
      <c r="AJ48" s="10" t="s">
        <v>138</v>
      </c>
      <c r="AK48" s="7" t="s">
        <v>139</v>
      </c>
      <c r="AL48" s="8" t="s">
        <v>86</v>
      </c>
      <c r="AM48" s="10" t="s">
        <v>138</v>
      </c>
      <c r="AN48" s="11" t="n">
        <v>45922</v>
      </c>
      <c r="AO48" s="11" t="n">
        <v>45871</v>
      </c>
      <c r="AP48" s="11" t="n">
        <v>45980</v>
      </c>
      <c r="AQ48" s="8" t="s">
        <v>87</v>
      </c>
      <c r="AR48" s="12"/>
      <c r="AS48" s="12"/>
      <c r="AT48" s="12"/>
      <c r="AU48" s="7" t="s">
        <v>375</v>
      </c>
      <c r="AV48" s="7" t="s">
        <v>376</v>
      </c>
      <c r="AW48" s="9" t="s">
        <v>142</v>
      </c>
      <c r="AX48" s="8" t="s">
        <v>108</v>
      </c>
      <c r="AY48" s="8" t="s">
        <v>92</v>
      </c>
      <c r="AZ48" s="11" t="n">
        <v>45954</v>
      </c>
      <c r="BA48" s="10" t="s">
        <v>117</v>
      </c>
      <c r="BB48" s="8" t="s">
        <v>87</v>
      </c>
      <c r="BC48" s="11"/>
      <c r="BD48" s="11"/>
      <c r="BE48" s="12"/>
      <c r="BF48" s="11"/>
      <c r="BG48" s="12"/>
      <c r="BH48" s="12"/>
      <c r="BI48" s="10" t="s">
        <v>118</v>
      </c>
    </row>
    <row r="49" customFormat="false" ht="15" hidden="false" customHeight="true" outlineLevel="0" collapsed="false">
      <c r="A49" s="16" t="s">
        <v>377</v>
      </c>
      <c r="B49" s="16" t="s">
        <v>378</v>
      </c>
      <c r="C49" s="18" t="s">
        <v>199</v>
      </c>
      <c r="D49" s="19" t="s">
        <v>200</v>
      </c>
      <c r="E49" s="17" t="s">
        <v>199</v>
      </c>
      <c r="F49" s="19" t="s">
        <v>90</v>
      </c>
      <c r="G49" s="20" t="n">
        <v>43596</v>
      </c>
      <c r="H49" s="20" t="n">
        <v>43656</v>
      </c>
      <c r="I49" s="21" t="n">
        <v>45347</v>
      </c>
      <c r="J49" s="19" t="n">
        <v>5</v>
      </c>
      <c r="K49" s="18" t="s">
        <v>78</v>
      </c>
      <c r="L49" s="22" t="n">
        <v>0.2</v>
      </c>
      <c r="M49" s="21" t="n">
        <v>1</v>
      </c>
      <c r="N49" s="21" t="n">
        <v>4536</v>
      </c>
      <c r="O49" s="21" t="n">
        <v>40811</v>
      </c>
      <c r="P49" s="23" t="n">
        <f aca="false">IF(K49="定額",ROUND((I49-M49)/J49/12,0),ROUND(I49*L49/12,0))</f>
        <v>756</v>
      </c>
      <c r="Q49" s="23" t="n">
        <f aca="false">IF(K49="定額",ROUND((I49-M49)/J49/12,0),ROUND(I49*L49/12,0))</f>
        <v>756</v>
      </c>
      <c r="R49" s="23" t="n">
        <f aca="false">IF(K49="定額",ROUND((I49-M49)/J49/12,0),ROUND(I49*L49/12,0))</f>
        <v>756</v>
      </c>
      <c r="S49" s="23" t="n">
        <f aca="false">IF(K49="定額",ROUND((I49-M49)/J49/12,0),ROUND(I49*L49/12,0))</f>
        <v>756</v>
      </c>
      <c r="T49" s="23" t="n">
        <f aca="false">IF(K49="定額",ROUND((I49-M49)/J49/12,0),ROUND(I49*L49/12,0))</f>
        <v>756</v>
      </c>
      <c r="U49" s="23" t="n">
        <f aca="false">IF(K49="定額",ROUND((I49-M49)/J49/12,0),ROUND(I49*L49/12,0))</f>
        <v>756</v>
      </c>
      <c r="V49" s="23" t="n">
        <f aca="false">IF(K49="定額",ROUND((I49-M49)/J49/12,0),ROUND(I49*L49/12,0))</f>
        <v>756</v>
      </c>
      <c r="W49" s="23" t="n">
        <f aca="false">IF(K49="定額",ROUND((I49-M49)/J49/12,0),ROUND(I49*L49/12,0))</f>
        <v>756</v>
      </c>
      <c r="X49" s="23" t="n">
        <f aca="false">IF(K49="定額",ROUND((I49-M49)/J49/12,0),ROUND(I49*L49/12,0))</f>
        <v>756</v>
      </c>
      <c r="Y49" s="23" t="n">
        <f aca="false">IF(K49="定額",ROUND((I49-M49)/J49/12,0),ROUND(I49*L49/12,0))</f>
        <v>756</v>
      </c>
      <c r="Z49" s="23" t="n">
        <f aca="false">IF(K49="定額",ROUND((I49-M49)/J49/12,0),ROUND(I49*L49/12,0))</f>
        <v>756</v>
      </c>
      <c r="AA49" s="23" t="n">
        <f aca="false">IF(K49="定額",ROUND((I49-M49)/J49/12,0),ROUND(I49*L49/12,0))</f>
        <v>756</v>
      </c>
      <c r="AB49" s="24" t="n">
        <f aca="false">SUM(P49:AA49)</f>
        <v>9072</v>
      </c>
      <c r="AC49" s="24" t="n">
        <f aca="false">O49+AB49</f>
        <v>49883</v>
      </c>
      <c r="AD49" s="24" t="n">
        <f aca="false">I49-AC49</f>
        <v>-4536</v>
      </c>
      <c r="AE49" s="17" t="s">
        <v>167</v>
      </c>
      <c r="AF49" s="17" t="s">
        <v>277</v>
      </c>
      <c r="AG49" s="19" t="s">
        <v>278</v>
      </c>
      <c r="AH49" s="17" t="s">
        <v>279</v>
      </c>
      <c r="AI49" s="16" t="s">
        <v>379</v>
      </c>
      <c r="AJ49" s="17" t="s">
        <v>159</v>
      </c>
      <c r="AK49" s="16" t="s">
        <v>160</v>
      </c>
      <c r="AL49" s="18" t="s">
        <v>87</v>
      </c>
      <c r="AM49" s="16" t="s">
        <v>90</v>
      </c>
      <c r="AN49" s="20"/>
      <c r="AO49" s="20" t="n">
        <v>45875</v>
      </c>
      <c r="AP49" s="20" t="n">
        <v>46119</v>
      </c>
      <c r="AQ49" s="18" t="s">
        <v>87</v>
      </c>
      <c r="AR49" s="21"/>
      <c r="AS49" s="21"/>
      <c r="AT49" s="21"/>
      <c r="AU49" s="16" t="s">
        <v>380</v>
      </c>
      <c r="AV49" s="16" t="s">
        <v>381</v>
      </c>
      <c r="AW49" s="19" t="s">
        <v>142</v>
      </c>
      <c r="AX49" s="18" t="s">
        <v>116</v>
      </c>
      <c r="AY49" s="18" t="s">
        <v>92</v>
      </c>
      <c r="AZ49" s="20" t="n">
        <v>45873</v>
      </c>
      <c r="BA49" s="17" t="s">
        <v>109</v>
      </c>
      <c r="BB49" s="18" t="s">
        <v>87</v>
      </c>
      <c r="BC49" s="20"/>
      <c r="BD49" s="20"/>
      <c r="BE49" s="21"/>
      <c r="BF49" s="20"/>
      <c r="BG49" s="21"/>
      <c r="BH49" s="21"/>
      <c r="BI49" s="16" t="s">
        <v>90</v>
      </c>
    </row>
    <row r="50" customFormat="false" ht="15" hidden="false" customHeight="true" outlineLevel="0" collapsed="false">
      <c r="A50" s="7" t="s">
        <v>382</v>
      </c>
      <c r="B50" s="7" t="s">
        <v>383</v>
      </c>
      <c r="C50" s="8" t="s">
        <v>75</v>
      </c>
      <c r="D50" s="9" t="s">
        <v>76</v>
      </c>
      <c r="E50" s="10" t="s">
        <v>75</v>
      </c>
      <c r="F50" s="8" t="s">
        <v>136</v>
      </c>
      <c r="G50" s="11" t="n">
        <v>43278</v>
      </c>
      <c r="H50" s="11" t="n">
        <v>43288</v>
      </c>
      <c r="I50" s="12" t="n">
        <v>116020</v>
      </c>
      <c r="J50" s="9" t="n">
        <v>5</v>
      </c>
      <c r="K50" s="8" t="s">
        <v>78</v>
      </c>
      <c r="L50" s="13" t="n">
        <v>0.2</v>
      </c>
      <c r="M50" s="12" t="n">
        <v>1</v>
      </c>
      <c r="N50" s="12" t="n">
        <v>11603</v>
      </c>
      <c r="O50" s="12" t="n">
        <v>104417</v>
      </c>
      <c r="P50" s="14" t="n">
        <f aca="false">IF(K50="定額",ROUND((I50-M50)/J50/12,0),ROUND(I50*L50/12,0))</f>
        <v>1934</v>
      </c>
      <c r="Q50" s="14" t="n">
        <f aca="false">IF(K50="定額",ROUND((I50-M50)/J50/12,0),ROUND(I50*L50/12,0))</f>
        <v>1934</v>
      </c>
      <c r="R50" s="14" t="n">
        <f aca="false">IF(K50="定額",ROUND((I50-M50)/J50/12,0),ROUND(I50*L50/12,0))</f>
        <v>1934</v>
      </c>
      <c r="S50" s="14" t="n">
        <f aca="false">IF(K50="定額",ROUND((I50-M50)/J50/12,0),ROUND(I50*L50/12,0))</f>
        <v>1934</v>
      </c>
      <c r="T50" s="14" t="n">
        <f aca="false">IF(K50="定額",ROUND((I50-M50)/J50/12,0),ROUND(I50*L50/12,0))</f>
        <v>1934</v>
      </c>
      <c r="U50" s="14" t="n">
        <f aca="false">IF(K50="定額",ROUND((I50-M50)/J50/12,0),ROUND(I50*L50/12,0))</f>
        <v>1934</v>
      </c>
      <c r="V50" s="14" t="n">
        <f aca="false">IF(K50="定額",ROUND((I50-M50)/J50/12,0),ROUND(I50*L50/12,0))</f>
        <v>1934</v>
      </c>
      <c r="W50" s="14" t="n">
        <f aca="false">IF(K50="定額",ROUND((I50-M50)/J50/12,0),ROUND(I50*L50/12,0))</f>
        <v>1934</v>
      </c>
      <c r="X50" s="14" t="n">
        <f aca="false">IF(K50="定額",ROUND((I50-M50)/J50/12,0),ROUND(I50*L50/12,0))</f>
        <v>1934</v>
      </c>
      <c r="Y50" s="14" t="n">
        <f aca="false">IF(K50="定額",ROUND((I50-M50)/J50/12,0),ROUND(I50*L50/12,0))</f>
        <v>1934</v>
      </c>
      <c r="Z50" s="14" t="n">
        <f aca="false">IF(K50="定額",ROUND((I50-M50)/J50/12,0),ROUND(I50*L50/12,0))</f>
        <v>1934</v>
      </c>
      <c r="AA50" s="14" t="n">
        <f aca="false">IF(K50="定額",ROUND((I50-M50)/J50/12,0),ROUND(I50*L50/12,0))</f>
        <v>1934</v>
      </c>
      <c r="AB50" s="15" t="n">
        <f aca="false">SUM(P50:AA50)</f>
        <v>23208</v>
      </c>
      <c r="AC50" s="15" t="n">
        <f aca="false">O50+AB50</f>
        <v>127625</v>
      </c>
      <c r="AD50" s="15" t="n">
        <f aca="false">I50-AC50</f>
        <v>-11605</v>
      </c>
      <c r="AE50" s="10" t="s">
        <v>167</v>
      </c>
      <c r="AF50" s="10" t="s">
        <v>168</v>
      </c>
      <c r="AG50" s="9" t="s">
        <v>169</v>
      </c>
      <c r="AH50" s="10" t="s">
        <v>170</v>
      </c>
      <c r="AI50" s="7" t="s">
        <v>384</v>
      </c>
      <c r="AJ50" s="7" t="s">
        <v>129</v>
      </c>
      <c r="AK50" s="7" t="s">
        <v>130</v>
      </c>
      <c r="AL50" s="8" t="s">
        <v>87</v>
      </c>
      <c r="AM50" s="7" t="s">
        <v>90</v>
      </c>
      <c r="AN50" s="11"/>
      <c r="AO50" s="11" t="n">
        <v>45841</v>
      </c>
      <c r="AP50" s="11" t="n">
        <v>46099</v>
      </c>
      <c r="AQ50" s="8" t="s">
        <v>87</v>
      </c>
      <c r="AR50" s="12"/>
      <c r="AS50" s="12"/>
      <c r="AT50" s="12"/>
      <c r="AU50" s="7" t="s">
        <v>385</v>
      </c>
      <c r="AV50" s="7" t="s">
        <v>386</v>
      </c>
      <c r="AW50" s="9" t="s">
        <v>142</v>
      </c>
      <c r="AX50" s="8" t="s">
        <v>108</v>
      </c>
      <c r="AY50" s="8" t="s">
        <v>92</v>
      </c>
      <c r="AZ50" s="11"/>
      <c r="BA50" s="10" t="s">
        <v>163</v>
      </c>
      <c r="BB50" s="8" t="s">
        <v>87</v>
      </c>
      <c r="BC50" s="11"/>
      <c r="BD50" s="11"/>
      <c r="BE50" s="12"/>
      <c r="BF50" s="11"/>
      <c r="BG50" s="12"/>
      <c r="BH50" s="12"/>
      <c r="BI50" s="10" t="s">
        <v>149</v>
      </c>
    </row>
    <row r="51" customFormat="false" ht="15" hidden="false" customHeight="true" outlineLevel="0" collapsed="false">
      <c r="A51" s="16" t="s">
        <v>387</v>
      </c>
      <c r="B51" s="17" t="s">
        <v>388</v>
      </c>
      <c r="C51" s="18" t="s">
        <v>221</v>
      </c>
      <c r="D51" s="19" t="s">
        <v>222</v>
      </c>
      <c r="E51" s="17" t="s">
        <v>221</v>
      </c>
      <c r="F51" s="18" t="s">
        <v>98</v>
      </c>
      <c r="G51" s="20" t="n">
        <v>43296</v>
      </c>
      <c r="H51" s="20" t="n">
        <v>43311</v>
      </c>
      <c r="I51" s="21" t="n">
        <v>621</v>
      </c>
      <c r="J51" s="19" t="n">
        <v>10</v>
      </c>
      <c r="K51" s="18" t="s">
        <v>123</v>
      </c>
      <c r="L51" s="22" t="n">
        <v>0.2</v>
      </c>
      <c r="M51" s="21" t="n">
        <v>1</v>
      </c>
      <c r="N51" s="21" t="n">
        <v>1</v>
      </c>
      <c r="O51" s="21" t="n">
        <v>620</v>
      </c>
      <c r="P51" s="23" t="n">
        <f aca="false">IF(K51="定額",ROUND((I51-M51)/J51/12,0),ROUND(I51*L51/12,0))</f>
        <v>10</v>
      </c>
      <c r="Q51" s="23" t="n">
        <f aca="false">IF(K51="定額",ROUND((I51-M51)/J51/12,0),ROUND(I51*L51/12,0))</f>
        <v>10</v>
      </c>
      <c r="R51" s="23" t="n">
        <f aca="false">IF(K51="定額",ROUND((I51-M51)/J51/12,0),ROUND(I51*L51/12,0))</f>
        <v>10</v>
      </c>
      <c r="S51" s="23" t="n">
        <f aca="false">IF(K51="定額",ROUND((I51-M51)/J51/12,0),ROUND(I51*L51/12,0))</f>
        <v>10</v>
      </c>
      <c r="T51" s="23" t="n">
        <f aca="false">IF(K51="定額",ROUND((I51-M51)/J51/12,0),ROUND(I51*L51/12,0))</f>
        <v>10</v>
      </c>
      <c r="U51" s="23" t="n">
        <f aca="false">IF(K51="定額",ROUND((I51-M51)/J51/12,0),ROUND(I51*L51/12,0))</f>
        <v>10</v>
      </c>
      <c r="V51" s="23" t="n">
        <f aca="false">IF(K51="定額",ROUND((I51-M51)/J51/12,0),ROUND(I51*L51/12,0))</f>
        <v>10</v>
      </c>
      <c r="W51" s="23" t="n">
        <f aca="false">IF(K51="定額",ROUND((I51-M51)/J51/12,0),ROUND(I51*L51/12,0))</f>
        <v>10</v>
      </c>
      <c r="X51" s="23" t="n">
        <f aca="false">IF(K51="定額",ROUND((I51-M51)/J51/12,0),ROUND(I51*L51/12,0))</f>
        <v>10</v>
      </c>
      <c r="Y51" s="23" t="n">
        <f aca="false">IF(K51="定額",ROUND((I51-M51)/J51/12,0),ROUND(I51*L51/12,0))</f>
        <v>10</v>
      </c>
      <c r="Z51" s="23" t="n">
        <f aca="false">IF(K51="定額",ROUND((I51-M51)/J51/12,0),ROUND(I51*L51/12,0))</f>
        <v>10</v>
      </c>
      <c r="AA51" s="23" t="n">
        <f aca="false">IF(K51="定額",ROUND((I51-M51)/J51/12,0),ROUND(I51*L51/12,0))</f>
        <v>10</v>
      </c>
      <c r="AB51" s="24" t="n">
        <f aca="false">SUM(P51:AA51)</f>
        <v>120</v>
      </c>
      <c r="AC51" s="24" t="n">
        <f aca="false">O51+AB51</f>
        <v>740</v>
      </c>
      <c r="AD51" s="24" t="n">
        <f aca="false">I51-AC51</f>
        <v>-119</v>
      </c>
      <c r="AE51" s="17" t="s">
        <v>167</v>
      </c>
      <c r="AF51" s="17" t="s">
        <v>277</v>
      </c>
      <c r="AG51" s="19" t="s">
        <v>278</v>
      </c>
      <c r="AH51" s="17" t="s">
        <v>279</v>
      </c>
      <c r="AI51" s="16" t="s">
        <v>389</v>
      </c>
      <c r="AJ51" s="16" t="s">
        <v>84</v>
      </c>
      <c r="AK51" s="16" t="s">
        <v>85</v>
      </c>
      <c r="AL51" s="18" t="s">
        <v>87</v>
      </c>
      <c r="AM51" s="16" t="s">
        <v>90</v>
      </c>
      <c r="AN51" s="20"/>
      <c r="AO51" s="20" t="n">
        <v>45766</v>
      </c>
      <c r="AP51" s="20" t="n">
        <v>45989</v>
      </c>
      <c r="AQ51" s="18" t="s">
        <v>87</v>
      </c>
      <c r="AR51" s="21"/>
      <c r="AS51" s="21"/>
      <c r="AT51" s="21"/>
      <c r="AU51" s="16" t="s">
        <v>390</v>
      </c>
      <c r="AV51" s="16" t="s">
        <v>391</v>
      </c>
      <c r="AW51" s="19" t="s">
        <v>90</v>
      </c>
      <c r="AX51" s="18" t="s">
        <v>116</v>
      </c>
      <c r="AY51" s="18" t="s">
        <v>218</v>
      </c>
      <c r="AZ51" s="20" t="n">
        <v>45934</v>
      </c>
      <c r="BA51" s="17" t="s">
        <v>293</v>
      </c>
      <c r="BB51" s="18" t="s">
        <v>87</v>
      </c>
      <c r="BC51" s="20"/>
      <c r="BD51" s="20"/>
      <c r="BE51" s="21" t="n">
        <v>1</v>
      </c>
      <c r="BF51" s="20" t="n">
        <v>45871</v>
      </c>
      <c r="BG51" s="21" t="n">
        <v>1</v>
      </c>
      <c r="BH51" s="24" t="n">
        <f aca="false">BG51-AD51</f>
        <v>120</v>
      </c>
      <c r="BI51" s="17" t="s">
        <v>164</v>
      </c>
    </row>
    <row r="52" customFormat="false" ht="15" hidden="false" customHeight="true" outlineLevel="0" collapsed="false">
      <c r="A52" s="7" t="s">
        <v>392</v>
      </c>
      <c r="B52" s="7" t="s">
        <v>393</v>
      </c>
      <c r="C52" s="8" t="s">
        <v>199</v>
      </c>
      <c r="D52" s="9" t="s">
        <v>200</v>
      </c>
      <c r="E52" s="10" t="s">
        <v>199</v>
      </c>
      <c r="F52" s="9" t="s">
        <v>90</v>
      </c>
      <c r="G52" s="11" t="n">
        <v>43318</v>
      </c>
      <c r="H52" s="11" t="n">
        <v>43328</v>
      </c>
      <c r="I52" s="12" t="n">
        <v>273490</v>
      </c>
      <c r="J52" s="9" t="n">
        <v>5</v>
      </c>
      <c r="K52" s="8" t="s">
        <v>78</v>
      </c>
      <c r="L52" s="13" t="n">
        <v>0.2</v>
      </c>
      <c r="M52" s="12" t="n">
        <v>1</v>
      </c>
      <c r="N52" s="12" t="n">
        <v>27350</v>
      </c>
      <c r="O52" s="12" t="n">
        <v>246140</v>
      </c>
      <c r="P52" s="14" t="n">
        <f aca="false">IF(K52="定額",ROUND((I52-M52)/J52/12,0),ROUND(I52*L52/12,0))</f>
        <v>4558</v>
      </c>
      <c r="Q52" s="14" t="n">
        <f aca="false">IF(K52="定額",ROUND((I52-M52)/J52/12,0),ROUND(I52*L52/12,0))</f>
        <v>4558</v>
      </c>
      <c r="R52" s="14" t="n">
        <f aca="false">IF(K52="定額",ROUND((I52-M52)/J52/12,0),ROUND(I52*L52/12,0))</f>
        <v>4558</v>
      </c>
      <c r="S52" s="14" t="n">
        <f aca="false">IF(K52="定額",ROUND((I52-M52)/J52/12,0),ROUND(I52*L52/12,0))</f>
        <v>4558</v>
      </c>
      <c r="T52" s="14" t="n">
        <f aca="false">IF(K52="定額",ROUND((I52-M52)/J52/12,0),ROUND(I52*L52/12,0))</f>
        <v>4558</v>
      </c>
      <c r="U52" s="14" t="n">
        <f aca="false">IF(K52="定額",ROUND((I52-M52)/J52/12,0),ROUND(I52*L52/12,0))</f>
        <v>4558</v>
      </c>
      <c r="V52" s="14" t="n">
        <f aca="false">IF(K52="定額",ROUND((I52-M52)/J52/12,0),ROUND(I52*L52/12,0))</f>
        <v>4558</v>
      </c>
      <c r="W52" s="14" t="n">
        <f aca="false">IF(K52="定額",ROUND((I52-M52)/J52/12,0),ROUND(I52*L52/12,0))</f>
        <v>4558</v>
      </c>
      <c r="X52" s="14" t="n">
        <f aca="false">IF(K52="定額",ROUND((I52-M52)/J52/12,0),ROUND(I52*L52/12,0))</f>
        <v>4558</v>
      </c>
      <c r="Y52" s="14" t="n">
        <f aca="false">IF(K52="定額",ROUND((I52-M52)/J52/12,0),ROUND(I52*L52/12,0))</f>
        <v>4558</v>
      </c>
      <c r="Z52" s="14" t="n">
        <f aca="false">IF(K52="定額",ROUND((I52-M52)/J52/12,0),ROUND(I52*L52/12,0))</f>
        <v>4558</v>
      </c>
      <c r="AA52" s="14" t="n">
        <f aca="false">IF(K52="定額",ROUND((I52-M52)/J52/12,0),ROUND(I52*L52/12,0))</f>
        <v>4558</v>
      </c>
      <c r="AB52" s="15" t="n">
        <f aca="false">SUM(P52:AA52)</f>
        <v>54696</v>
      </c>
      <c r="AC52" s="15" t="n">
        <f aca="false">O52+AB52</f>
        <v>300836</v>
      </c>
      <c r="AD52" s="15" t="n">
        <f aca="false">I52-AC52</f>
        <v>-27346</v>
      </c>
      <c r="AE52" s="10" t="s">
        <v>124</v>
      </c>
      <c r="AF52" s="10" t="s">
        <v>125</v>
      </c>
      <c r="AG52" s="9" t="s">
        <v>126</v>
      </c>
      <c r="AH52" s="10" t="s">
        <v>127</v>
      </c>
      <c r="AI52" s="7" t="s">
        <v>394</v>
      </c>
      <c r="AJ52" s="10" t="s">
        <v>159</v>
      </c>
      <c r="AK52" s="7" t="s">
        <v>160</v>
      </c>
      <c r="AL52" s="8" t="s">
        <v>86</v>
      </c>
      <c r="AM52" s="10" t="s">
        <v>159</v>
      </c>
      <c r="AN52" s="11" t="n">
        <v>44413</v>
      </c>
      <c r="AO52" s="11" t="n">
        <v>45884</v>
      </c>
      <c r="AP52" s="11" t="n">
        <v>45995</v>
      </c>
      <c r="AQ52" s="8" t="s">
        <v>87</v>
      </c>
      <c r="AR52" s="12"/>
      <c r="AS52" s="12"/>
      <c r="AT52" s="12"/>
      <c r="AU52" s="7" t="s">
        <v>395</v>
      </c>
      <c r="AV52" s="7" t="s">
        <v>396</v>
      </c>
      <c r="AW52" s="9" t="s">
        <v>142</v>
      </c>
      <c r="AX52" s="8" t="s">
        <v>116</v>
      </c>
      <c r="AY52" s="8" t="s">
        <v>92</v>
      </c>
      <c r="AZ52" s="11"/>
      <c r="BA52" s="10" t="s">
        <v>293</v>
      </c>
      <c r="BB52" s="8" t="s">
        <v>87</v>
      </c>
      <c r="BC52" s="11"/>
      <c r="BD52" s="11"/>
      <c r="BE52" s="12"/>
      <c r="BF52" s="11"/>
      <c r="BG52" s="12"/>
      <c r="BH52" s="12"/>
      <c r="BI52" s="10" t="s">
        <v>149</v>
      </c>
    </row>
    <row r="53" customFormat="false" ht="15" hidden="false" customHeight="true" outlineLevel="0" collapsed="false">
      <c r="A53" s="16" t="s">
        <v>397</v>
      </c>
      <c r="B53" s="17" t="s">
        <v>398</v>
      </c>
      <c r="C53" s="18" t="s">
        <v>221</v>
      </c>
      <c r="D53" s="19" t="s">
        <v>222</v>
      </c>
      <c r="E53" s="17" t="s">
        <v>221</v>
      </c>
      <c r="F53" s="18" t="s">
        <v>136</v>
      </c>
      <c r="G53" s="20" t="n">
        <v>44953</v>
      </c>
      <c r="H53" s="20" t="n">
        <v>44966</v>
      </c>
      <c r="I53" s="21" t="n">
        <v>391267</v>
      </c>
      <c r="J53" s="19" t="n">
        <v>10</v>
      </c>
      <c r="K53" s="18" t="s">
        <v>123</v>
      </c>
      <c r="L53" s="22" t="n">
        <v>0.2</v>
      </c>
      <c r="M53" s="21" t="n">
        <v>1</v>
      </c>
      <c r="N53" s="21" t="n">
        <v>223727</v>
      </c>
      <c r="O53" s="21" t="n">
        <v>167540</v>
      </c>
      <c r="P53" s="23" t="n">
        <f aca="false">IF(K53="定額",ROUND((I53-M53)/J53/12,0),ROUND(I53*L53/12,0))</f>
        <v>6521</v>
      </c>
      <c r="Q53" s="23" t="n">
        <f aca="false">IF(K53="定額",ROUND((I53-M53)/J53/12,0),ROUND(I53*L53/12,0))</f>
        <v>6521</v>
      </c>
      <c r="R53" s="23" t="n">
        <f aca="false">IF(K53="定額",ROUND((I53-M53)/J53/12,0),ROUND(I53*L53/12,0))</f>
        <v>6521</v>
      </c>
      <c r="S53" s="23" t="n">
        <f aca="false">IF(K53="定額",ROUND((I53-M53)/J53/12,0),ROUND(I53*L53/12,0))</f>
        <v>6521</v>
      </c>
      <c r="T53" s="23" t="n">
        <f aca="false">IF(K53="定額",ROUND((I53-M53)/J53/12,0),ROUND(I53*L53/12,0))</f>
        <v>6521</v>
      </c>
      <c r="U53" s="23" t="n">
        <f aca="false">IF(K53="定額",ROUND((I53-M53)/J53/12,0),ROUND(I53*L53/12,0))</f>
        <v>6521</v>
      </c>
      <c r="V53" s="23" t="n">
        <f aca="false">IF(K53="定額",ROUND((I53-M53)/J53/12,0),ROUND(I53*L53/12,0))</f>
        <v>6521</v>
      </c>
      <c r="W53" s="23" t="n">
        <f aca="false">IF(K53="定額",ROUND((I53-M53)/J53/12,0),ROUND(I53*L53/12,0))</f>
        <v>6521</v>
      </c>
      <c r="X53" s="23" t="n">
        <f aca="false">IF(K53="定額",ROUND((I53-M53)/J53/12,0),ROUND(I53*L53/12,0))</f>
        <v>6521</v>
      </c>
      <c r="Y53" s="23" t="n">
        <f aca="false">IF(K53="定額",ROUND((I53-M53)/J53/12,0),ROUND(I53*L53/12,0))</f>
        <v>6521</v>
      </c>
      <c r="Z53" s="23" t="n">
        <f aca="false">IF(K53="定額",ROUND((I53-M53)/J53/12,0),ROUND(I53*L53/12,0))</f>
        <v>6521</v>
      </c>
      <c r="AA53" s="23" t="n">
        <f aca="false">IF(K53="定額",ROUND((I53-M53)/J53/12,0),ROUND(I53*L53/12,0))</f>
        <v>6521</v>
      </c>
      <c r="AB53" s="24" t="n">
        <f aca="false">SUM(P53:AA53)</f>
        <v>78252</v>
      </c>
      <c r="AC53" s="24" t="n">
        <f aca="false">O53+AB53</f>
        <v>245792</v>
      </c>
      <c r="AD53" s="24" t="n">
        <f aca="false">I53-AC53</f>
        <v>145475</v>
      </c>
      <c r="AE53" s="17" t="s">
        <v>183</v>
      </c>
      <c r="AF53" s="17" t="s">
        <v>184</v>
      </c>
      <c r="AG53" s="19" t="s">
        <v>185</v>
      </c>
      <c r="AH53" s="17" t="s">
        <v>186</v>
      </c>
      <c r="AI53" s="16" t="s">
        <v>399</v>
      </c>
      <c r="AJ53" s="17" t="s">
        <v>138</v>
      </c>
      <c r="AK53" s="16" t="s">
        <v>139</v>
      </c>
      <c r="AL53" s="18" t="s">
        <v>87</v>
      </c>
      <c r="AM53" s="16" t="s">
        <v>90</v>
      </c>
      <c r="AN53" s="20"/>
      <c r="AO53" s="20" t="n">
        <v>45798</v>
      </c>
      <c r="AP53" s="20" t="n">
        <v>46143</v>
      </c>
      <c r="AQ53" s="18" t="s">
        <v>87</v>
      </c>
      <c r="AR53" s="21"/>
      <c r="AS53" s="21"/>
      <c r="AT53" s="21"/>
      <c r="AU53" s="16" t="s">
        <v>400</v>
      </c>
      <c r="AV53" s="16" t="s">
        <v>401</v>
      </c>
      <c r="AW53" s="19" t="s">
        <v>142</v>
      </c>
      <c r="AX53" s="18" t="s">
        <v>116</v>
      </c>
      <c r="AY53" s="18" t="s">
        <v>92</v>
      </c>
      <c r="AZ53" s="20" t="n">
        <v>45905</v>
      </c>
      <c r="BA53" s="17" t="s">
        <v>117</v>
      </c>
      <c r="BB53" s="18" t="s">
        <v>87</v>
      </c>
      <c r="BC53" s="20"/>
      <c r="BD53" s="20"/>
      <c r="BE53" s="21"/>
      <c r="BF53" s="20"/>
      <c r="BG53" s="21"/>
      <c r="BH53" s="21"/>
      <c r="BI53" s="16" t="s">
        <v>90</v>
      </c>
    </row>
    <row r="54" customFormat="false" ht="15" hidden="false" customHeight="true" outlineLevel="0" collapsed="false">
      <c r="A54" s="7" t="s">
        <v>402</v>
      </c>
      <c r="B54" s="10" t="s">
        <v>403</v>
      </c>
      <c r="C54" s="8" t="s">
        <v>152</v>
      </c>
      <c r="D54" s="9" t="s">
        <v>153</v>
      </c>
      <c r="E54" s="10" t="s">
        <v>152</v>
      </c>
      <c r="F54" s="8" t="s">
        <v>77</v>
      </c>
      <c r="G54" s="11" t="n">
        <v>44959</v>
      </c>
      <c r="H54" s="11" t="n">
        <v>44972</v>
      </c>
      <c r="I54" s="12" t="n">
        <v>3552</v>
      </c>
      <c r="J54" s="9" t="n">
        <v>30</v>
      </c>
      <c r="K54" s="8" t="s">
        <v>78</v>
      </c>
      <c r="L54" s="13" t="n">
        <v>0.034</v>
      </c>
      <c r="M54" s="12" t="n">
        <v>177</v>
      </c>
      <c r="N54" s="12" t="n">
        <v>3313</v>
      </c>
      <c r="O54" s="12" t="n">
        <v>239</v>
      </c>
      <c r="P54" s="14" t="n">
        <f aca="false">IF(K54="定額",ROUND((I54-M54)/J54/12,0),ROUND(I54*L54/12,0))</f>
        <v>9</v>
      </c>
      <c r="Q54" s="14" t="n">
        <f aca="false">IF(K54="定額",ROUND((I54-M54)/J54/12,0),ROUND(I54*L54/12,0))</f>
        <v>9</v>
      </c>
      <c r="R54" s="14" t="n">
        <f aca="false">IF(K54="定額",ROUND((I54-M54)/J54/12,0),ROUND(I54*L54/12,0))</f>
        <v>9</v>
      </c>
      <c r="S54" s="14" t="n">
        <f aca="false">IF(K54="定額",ROUND((I54-M54)/J54/12,0),ROUND(I54*L54/12,0))</f>
        <v>9</v>
      </c>
      <c r="T54" s="14" t="n">
        <f aca="false">IF(K54="定額",ROUND((I54-M54)/J54/12,0),ROUND(I54*L54/12,0))</f>
        <v>9</v>
      </c>
      <c r="U54" s="14" t="n">
        <f aca="false">IF(K54="定額",ROUND((I54-M54)/J54/12,0),ROUND(I54*L54/12,0))</f>
        <v>9</v>
      </c>
      <c r="V54" s="14" t="n">
        <f aca="false">IF(K54="定額",ROUND((I54-M54)/J54/12,0),ROUND(I54*L54/12,0))</f>
        <v>9</v>
      </c>
      <c r="W54" s="14" t="n">
        <f aca="false">IF(K54="定額",ROUND((I54-M54)/J54/12,0),ROUND(I54*L54/12,0))</f>
        <v>9</v>
      </c>
      <c r="X54" s="14" t="n">
        <f aca="false">IF(K54="定額",ROUND((I54-M54)/J54/12,0),ROUND(I54*L54/12,0))</f>
        <v>9</v>
      </c>
      <c r="Y54" s="14" t="n">
        <f aca="false">IF(K54="定額",ROUND((I54-M54)/J54/12,0),ROUND(I54*L54/12,0))</f>
        <v>9</v>
      </c>
      <c r="Z54" s="14" t="n">
        <f aca="false">IF(K54="定額",ROUND((I54-M54)/J54/12,0),ROUND(I54*L54/12,0))</f>
        <v>9</v>
      </c>
      <c r="AA54" s="14" t="n">
        <f aca="false">IF(K54="定額",ROUND((I54-M54)/J54/12,0),ROUND(I54*L54/12,0))</f>
        <v>9</v>
      </c>
      <c r="AB54" s="15" t="n">
        <f aca="false">SUM(P54:AA54)</f>
        <v>108</v>
      </c>
      <c r="AC54" s="15" t="n">
        <f aca="false">O54+AB54</f>
        <v>347</v>
      </c>
      <c r="AD54" s="15" t="n">
        <f aca="false">I54-AC54</f>
        <v>3205</v>
      </c>
      <c r="AE54" s="10" t="s">
        <v>79</v>
      </c>
      <c r="AF54" s="10" t="s">
        <v>80</v>
      </c>
      <c r="AG54" s="9" t="s">
        <v>81</v>
      </c>
      <c r="AH54" s="10" t="s">
        <v>82</v>
      </c>
      <c r="AI54" s="7" t="s">
        <v>404</v>
      </c>
      <c r="AJ54" s="7" t="s">
        <v>84</v>
      </c>
      <c r="AK54" s="7" t="s">
        <v>85</v>
      </c>
      <c r="AL54" s="8" t="s">
        <v>87</v>
      </c>
      <c r="AM54" s="7" t="s">
        <v>90</v>
      </c>
      <c r="AN54" s="11"/>
      <c r="AO54" s="11" t="n">
        <v>45792</v>
      </c>
      <c r="AP54" s="11" t="n">
        <v>45957</v>
      </c>
      <c r="AQ54" s="8" t="s">
        <v>87</v>
      </c>
      <c r="AR54" s="12"/>
      <c r="AS54" s="12"/>
      <c r="AT54" s="12"/>
      <c r="AU54" s="7" t="s">
        <v>405</v>
      </c>
      <c r="AV54" s="7" t="s">
        <v>406</v>
      </c>
      <c r="AW54" s="9" t="s">
        <v>90</v>
      </c>
      <c r="AX54" s="8" t="s">
        <v>116</v>
      </c>
      <c r="AY54" s="8" t="s">
        <v>92</v>
      </c>
      <c r="AZ54" s="11" t="n">
        <v>45937</v>
      </c>
      <c r="BA54" s="10" t="s">
        <v>163</v>
      </c>
      <c r="BB54" s="8" t="s">
        <v>87</v>
      </c>
      <c r="BC54" s="11"/>
      <c r="BD54" s="11"/>
      <c r="BE54" s="12"/>
      <c r="BF54" s="11"/>
      <c r="BG54" s="12"/>
      <c r="BH54" s="12"/>
      <c r="BI54" s="10" t="s">
        <v>110</v>
      </c>
    </row>
    <row r="55" customFormat="false" ht="15" hidden="false" customHeight="true" outlineLevel="0" collapsed="false">
      <c r="A55" s="16" t="s">
        <v>407</v>
      </c>
      <c r="B55" s="17" t="s">
        <v>408</v>
      </c>
      <c r="C55" s="18" t="s">
        <v>152</v>
      </c>
      <c r="D55" s="19" t="s">
        <v>153</v>
      </c>
      <c r="E55" s="17" t="s">
        <v>152</v>
      </c>
      <c r="F55" s="18" t="s">
        <v>98</v>
      </c>
      <c r="G55" s="20" t="n">
        <v>44696</v>
      </c>
      <c r="H55" s="20" t="n">
        <v>44710</v>
      </c>
      <c r="I55" s="21" t="n">
        <v>42624</v>
      </c>
      <c r="J55" s="19" t="n">
        <v>30</v>
      </c>
      <c r="K55" s="18" t="s">
        <v>78</v>
      </c>
      <c r="L55" s="22" t="n">
        <v>0.034</v>
      </c>
      <c r="M55" s="21" t="n">
        <v>2131</v>
      </c>
      <c r="N55" s="21" t="n">
        <v>38789</v>
      </c>
      <c r="O55" s="21" t="n">
        <v>3835</v>
      </c>
      <c r="P55" s="23" t="n">
        <f aca="false">IF(K55="定額",ROUND((I55-M55)/J55/12,0),ROUND(I55*L55/12,0))</f>
        <v>112</v>
      </c>
      <c r="Q55" s="23" t="n">
        <f aca="false">IF(K55="定額",ROUND((I55-M55)/J55/12,0),ROUND(I55*L55/12,0))</f>
        <v>112</v>
      </c>
      <c r="R55" s="23" t="n">
        <f aca="false">IF(K55="定額",ROUND((I55-M55)/J55/12,0),ROUND(I55*L55/12,0))</f>
        <v>112</v>
      </c>
      <c r="S55" s="23" t="n">
        <f aca="false">IF(K55="定額",ROUND((I55-M55)/J55/12,0),ROUND(I55*L55/12,0))</f>
        <v>112</v>
      </c>
      <c r="T55" s="23" t="n">
        <f aca="false">IF(K55="定額",ROUND((I55-M55)/J55/12,0),ROUND(I55*L55/12,0))</f>
        <v>112</v>
      </c>
      <c r="U55" s="23" t="n">
        <f aca="false">IF(K55="定額",ROUND((I55-M55)/J55/12,0),ROUND(I55*L55/12,0))</f>
        <v>112</v>
      </c>
      <c r="V55" s="23" t="n">
        <f aca="false">IF(K55="定額",ROUND((I55-M55)/J55/12,0),ROUND(I55*L55/12,0))</f>
        <v>112</v>
      </c>
      <c r="W55" s="23" t="n">
        <f aca="false">IF(K55="定額",ROUND((I55-M55)/J55/12,0),ROUND(I55*L55/12,0))</f>
        <v>112</v>
      </c>
      <c r="X55" s="23" t="n">
        <f aca="false">IF(K55="定額",ROUND((I55-M55)/J55/12,0),ROUND(I55*L55/12,0))</f>
        <v>112</v>
      </c>
      <c r="Y55" s="23" t="n">
        <f aca="false">IF(K55="定額",ROUND((I55-M55)/J55/12,0),ROUND(I55*L55/12,0))</f>
        <v>112</v>
      </c>
      <c r="Z55" s="23" t="n">
        <f aca="false">IF(K55="定額",ROUND((I55-M55)/J55/12,0),ROUND(I55*L55/12,0))</f>
        <v>112</v>
      </c>
      <c r="AA55" s="23" t="n">
        <f aca="false">IF(K55="定額",ROUND((I55-M55)/J55/12,0),ROUND(I55*L55/12,0))</f>
        <v>112</v>
      </c>
      <c r="AB55" s="24" t="n">
        <f aca="false">SUM(P55:AA55)</f>
        <v>1344</v>
      </c>
      <c r="AC55" s="24" t="n">
        <f aca="false">O55+AB55</f>
        <v>5179</v>
      </c>
      <c r="AD55" s="24" t="n">
        <f aca="false">I55-AC55</f>
        <v>37445</v>
      </c>
      <c r="AE55" s="17" t="s">
        <v>154</v>
      </c>
      <c r="AF55" s="17" t="s">
        <v>155</v>
      </c>
      <c r="AG55" s="19" t="s">
        <v>156</v>
      </c>
      <c r="AH55" s="17" t="s">
        <v>157</v>
      </c>
      <c r="AI55" s="16" t="s">
        <v>409</v>
      </c>
      <c r="AJ55" s="17" t="s">
        <v>138</v>
      </c>
      <c r="AK55" s="16" t="s">
        <v>139</v>
      </c>
      <c r="AL55" s="18" t="s">
        <v>86</v>
      </c>
      <c r="AM55" s="17" t="s">
        <v>138</v>
      </c>
      <c r="AN55" s="20" t="n">
        <v>46156</v>
      </c>
      <c r="AO55" s="20" t="n">
        <v>45814</v>
      </c>
      <c r="AP55" s="20" t="n">
        <v>46110</v>
      </c>
      <c r="AQ55" s="18" t="s">
        <v>86</v>
      </c>
      <c r="AR55" s="21" t="n">
        <v>30699</v>
      </c>
      <c r="AS55" s="21" t="n">
        <v>8090</v>
      </c>
      <c r="AT55" s="21" t="n">
        <v>30699</v>
      </c>
      <c r="AU55" s="16" t="s">
        <v>410</v>
      </c>
      <c r="AV55" s="16" t="s">
        <v>411</v>
      </c>
      <c r="AW55" s="19" t="s">
        <v>142</v>
      </c>
      <c r="AX55" s="18" t="s">
        <v>116</v>
      </c>
      <c r="AY55" s="18" t="s">
        <v>92</v>
      </c>
      <c r="AZ55" s="20" t="n">
        <v>45951</v>
      </c>
      <c r="BA55" s="16" t="s">
        <v>143</v>
      </c>
      <c r="BB55" s="18" t="s">
        <v>86</v>
      </c>
      <c r="BC55" s="20" t="n">
        <v>45876</v>
      </c>
      <c r="BD55" s="20"/>
      <c r="BE55" s="21"/>
      <c r="BF55" s="20"/>
      <c r="BG55" s="21"/>
      <c r="BH55" s="21"/>
      <c r="BI55" s="17" t="s">
        <v>118</v>
      </c>
    </row>
    <row r="56" customFormat="false" ht="15" hidden="false" customHeight="true" outlineLevel="0" collapsed="false">
      <c r="A56" s="7" t="s">
        <v>412</v>
      </c>
      <c r="B56" s="10" t="s">
        <v>413</v>
      </c>
      <c r="C56" s="8" t="s">
        <v>121</v>
      </c>
      <c r="D56" s="9" t="s">
        <v>122</v>
      </c>
      <c r="E56" s="10" t="s">
        <v>121</v>
      </c>
      <c r="F56" s="8" t="s">
        <v>136</v>
      </c>
      <c r="G56" s="11" t="n">
        <v>43835</v>
      </c>
      <c r="H56" s="11" t="n">
        <v>43865</v>
      </c>
      <c r="I56" s="12" t="n">
        <v>457285</v>
      </c>
      <c r="J56" s="9" t="n">
        <v>6</v>
      </c>
      <c r="K56" s="8" t="s">
        <v>123</v>
      </c>
      <c r="L56" s="13" t="n">
        <v>0.333</v>
      </c>
      <c r="M56" s="12" t="n">
        <v>1</v>
      </c>
      <c r="N56" s="12" t="n">
        <v>1</v>
      </c>
      <c r="O56" s="12" t="n">
        <v>457284</v>
      </c>
      <c r="P56" s="14" t="n">
        <f aca="false">IF(K56="定額",ROUND((I56-M56)/J56/12,0),ROUND(I56*L56/12,0))</f>
        <v>12690</v>
      </c>
      <c r="Q56" s="14" t="n">
        <f aca="false">IF(K56="定額",ROUND((I56-M56)/J56/12,0),ROUND(I56*L56/12,0))</f>
        <v>12690</v>
      </c>
      <c r="R56" s="14" t="n">
        <f aca="false">IF(K56="定額",ROUND((I56-M56)/J56/12,0),ROUND(I56*L56/12,0))</f>
        <v>12690</v>
      </c>
      <c r="S56" s="14" t="n">
        <f aca="false">IF(K56="定額",ROUND((I56-M56)/J56/12,0),ROUND(I56*L56/12,0))</f>
        <v>12690</v>
      </c>
      <c r="T56" s="14" t="n">
        <f aca="false">IF(K56="定額",ROUND((I56-M56)/J56/12,0),ROUND(I56*L56/12,0))</f>
        <v>12690</v>
      </c>
      <c r="U56" s="14" t="n">
        <f aca="false">IF(K56="定額",ROUND((I56-M56)/J56/12,0),ROUND(I56*L56/12,0))</f>
        <v>12690</v>
      </c>
      <c r="V56" s="14" t="n">
        <f aca="false">IF(K56="定額",ROUND((I56-M56)/J56/12,0),ROUND(I56*L56/12,0))</f>
        <v>12690</v>
      </c>
      <c r="W56" s="14" t="n">
        <f aca="false">IF(K56="定額",ROUND((I56-M56)/J56/12,0),ROUND(I56*L56/12,0))</f>
        <v>12690</v>
      </c>
      <c r="X56" s="14" t="n">
        <f aca="false">IF(K56="定額",ROUND((I56-M56)/J56/12,0),ROUND(I56*L56/12,0))</f>
        <v>12690</v>
      </c>
      <c r="Y56" s="14" t="n">
        <f aca="false">IF(K56="定額",ROUND((I56-M56)/J56/12,0),ROUND(I56*L56/12,0))</f>
        <v>12690</v>
      </c>
      <c r="Z56" s="14" t="n">
        <f aca="false">IF(K56="定額",ROUND((I56-M56)/J56/12,0),ROUND(I56*L56/12,0))</f>
        <v>12690</v>
      </c>
      <c r="AA56" s="14" t="n">
        <f aca="false">IF(K56="定額",ROUND((I56-M56)/J56/12,0),ROUND(I56*L56/12,0))</f>
        <v>12690</v>
      </c>
      <c r="AB56" s="15" t="n">
        <f aca="false">SUM(P56:AA56)</f>
        <v>152280</v>
      </c>
      <c r="AC56" s="15" t="n">
        <f aca="false">O56+AB56</f>
        <v>609564</v>
      </c>
      <c r="AD56" s="15" t="n">
        <f aca="false">I56-AC56</f>
        <v>-152279</v>
      </c>
      <c r="AE56" s="10" t="s">
        <v>183</v>
      </c>
      <c r="AF56" s="10" t="s">
        <v>184</v>
      </c>
      <c r="AG56" s="9" t="s">
        <v>185</v>
      </c>
      <c r="AH56" s="10" t="s">
        <v>186</v>
      </c>
      <c r="AI56" s="7" t="s">
        <v>414</v>
      </c>
      <c r="AJ56" s="7" t="s">
        <v>104</v>
      </c>
      <c r="AK56" s="7" t="s">
        <v>105</v>
      </c>
      <c r="AL56" s="8" t="s">
        <v>86</v>
      </c>
      <c r="AM56" s="7" t="s">
        <v>104</v>
      </c>
      <c r="AN56" s="11" t="n">
        <v>44565</v>
      </c>
      <c r="AO56" s="11" t="n">
        <v>45831</v>
      </c>
      <c r="AP56" s="11" t="n">
        <v>46157</v>
      </c>
      <c r="AQ56" s="8" t="s">
        <v>87</v>
      </c>
      <c r="AR56" s="12"/>
      <c r="AS56" s="12"/>
      <c r="AT56" s="12"/>
      <c r="AU56" s="7" t="s">
        <v>415</v>
      </c>
      <c r="AV56" s="7" t="s">
        <v>416</v>
      </c>
      <c r="AW56" s="9" t="s">
        <v>142</v>
      </c>
      <c r="AX56" s="8" t="s">
        <v>116</v>
      </c>
      <c r="AY56" s="8" t="s">
        <v>92</v>
      </c>
      <c r="AZ56" s="11" t="n">
        <v>45894</v>
      </c>
      <c r="BA56" s="7" t="s">
        <v>90</v>
      </c>
      <c r="BB56" s="8" t="s">
        <v>86</v>
      </c>
      <c r="BC56" s="11" t="n">
        <v>45842</v>
      </c>
      <c r="BD56" s="11"/>
      <c r="BE56" s="12"/>
      <c r="BF56" s="11"/>
      <c r="BG56" s="12"/>
      <c r="BH56" s="12"/>
      <c r="BI56" s="10" t="s">
        <v>133</v>
      </c>
    </row>
    <row r="57" customFormat="false" ht="15" hidden="false" customHeight="true" outlineLevel="0" collapsed="false">
      <c r="A57" s="16" t="s">
        <v>417</v>
      </c>
      <c r="B57" s="16" t="s">
        <v>418</v>
      </c>
      <c r="C57" s="18" t="s">
        <v>75</v>
      </c>
      <c r="D57" s="19" t="s">
        <v>76</v>
      </c>
      <c r="E57" s="17" t="s">
        <v>75</v>
      </c>
      <c r="F57" s="18" t="s">
        <v>136</v>
      </c>
      <c r="G57" s="20" t="n">
        <v>44454</v>
      </c>
      <c r="H57" s="20" t="n">
        <v>44463</v>
      </c>
      <c r="I57" s="21" t="n">
        <v>2306</v>
      </c>
      <c r="J57" s="19" t="n">
        <v>5</v>
      </c>
      <c r="K57" s="18" t="s">
        <v>78</v>
      </c>
      <c r="L57" s="22" t="n">
        <v>0.2</v>
      </c>
      <c r="M57" s="21" t="n">
        <v>1</v>
      </c>
      <c r="N57" s="21" t="n">
        <v>685</v>
      </c>
      <c r="O57" s="21" t="n">
        <v>1621</v>
      </c>
      <c r="P57" s="23" t="n">
        <f aca="false">IF(K57="定額",ROUND((I57-M57)/J57/12,0),ROUND(I57*L57/12,0))</f>
        <v>38</v>
      </c>
      <c r="Q57" s="23" t="n">
        <f aca="false">IF(K57="定額",ROUND((I57-M57)/J57/12,0),ROUND(I57*L57/12,0))</f>
        <v>38</v>
      </c>
      <c r="R57" s="23" t="n">
        <f aca="false">IF(K57="定額",ROUND((I57-M57)/J57/12,0),ROUND(I57*L57/12,0))</f>
        <v>38</v>
      </c>
      <c r="S57" s="23" t="n">
        <f aca="false">IF(K57="定額",ROUND((I57-M57)/J57/12,0),ROUND(I57*L57/12,0))</f>
        <v>38</v>
      </c>
      <c r="T57" s="23" t="n">
        <f aca="false">IF(K57="定額",ROUND((I57-M57)/J57/12,0),ROUND(I57*L57/12,0))</f>
        <v>38</v>
      </c>
      <c r="U57" s="23" t="n">
        <f aca="false">IF(K57="定額",ROUND((I57-M57)/J57/12,0),ROUND(I57*L57/12,0))</f>
        <v>38</v>
      </c>
      <c r="V57" s="23" t="n">
        <f aca="false">IF(K57="定額",ROUND((I57-M57)/J57/12,0),ROUND(I57*L57/12,0))</f>
        <v>38</v>
      </c>
      <c r="W57" s="23" t="n">
        <f aca="false">IF(K57="定額",ROUND((I57-M57)/J57/12,0),ROUND(I57*L57/12,0))</f>
        <v>38</v>
      </c>
      <c r="X57" s="23" t="n">
        <f aca="false">IF(K57="定額",ROUND((I57-M57)/J57/12,0),ROUND(I57*L57/12,0))</f>
        <v>38</v>
      </c>
      <c r="Y57" s="23" t="n">
        <f aca="false">IF(K57="定額",ROUND((I57-M57)/J57/12,0),ROUND(I57*L57/12,0))</f>
        <v>38</v>
      </c>
      <c r="Z57" s="23" t="n">
        <f aca="false">IF(K57="定額",ROUND((I57-M57)/J57/12,0),ROUND(I57*L57/12,0))</f>
        <v>38</v>
      </c>
      <c r="AA57" s="23" t="n">
        <f aca="false">IF(K57="定額",ROUND((I57-M57)/J57/12,0),ROUND(I57*L57/12,0))</f>
        <v>38</v>
      </c>
      <c r="AB57" s="24" t="n">
        <f aca="false">SUM(P57:AA57)</f>
        <v>456</v>
      </c>
      <c r="AC57" s="24" t="n">
        <f aca="false">O57+AB57</f>
        <v>2077</v>
      </c>
      <c r="AD57" s="24" t="n">
        <f aca="false">I57-AC57</f>
        <v>229</v>
      </c>
      <c r="AE57" s="17" t="s">
        <v>183</v>
      </c>
      <c r="AF57" s="17" t="s">
        <v>184</v>
      </c>
      <c r="AG57" s="19" t="s">
        <v>185</v>
      </c>
      <c r="AH57" s="17" t="s">
        <v>186</v>
      </c>
      <c r="AI57" s="16" t="s">
        <v>419</v>
      </c>
      <c r="AJ57" s="17" t="s">
        <v>138</v>
      </c>
      <c r="AK57" s="16" t="s">
        <v>139</v>
      </c>
      <c r="AL57" s="18" t="s">
        <v>87</v>
      </c>
      <c r="AM57" s="16" t="s">
        <v>90</v>
      </c>
      <c r="AN57" s="20"/>
      <c r="AO57" s="20" t="n">
        <v>45826</v>
      </c>
      <c r="AP57" s="20" t="n">
        <v>46098</v>
      </c>
      <c r="AQ57" s="18" t="s">
        <v>87</v>
      </c>
      <c r="AR57" s="21"/>
      <c r="AS57" s="21"/>
      <c r="AT57" s="21"/>
      <c r="AU57" s="16" t="s">
        <v>420</v>
      </c>
      <c r="AV57" s="16" t="s">
        <v>421</v>
      </c>
      <c r="AW57" s="19" t="s">
        <v>90</v>
      </c>
      <c r="AX57" s="18" t="s">
        <v>91</v>
      </c>
      <c r="AY57" s="18" t="s">
        <v>92</v>
      </c>
      <c r="AZ57" s="20" t="n">
        <v>45918</v>
      </c>
      <c r="BA57" s="17" t="s">
        <v>117</v>
      </c>
      <c r="BB57" s="18" t="s">
        <v>87</v>
      </c>
      <c r="BC57" s="20"/>
      <c r="BD57" s="20"/>
      <c r="BE57" s="21"/>
      <c r="BF57" s="20"/>
      <c r="BG57" s="21"/>
      <c r="BH57" s="21"/>
      <c r="BI57" s="17" t="s">
        <v>149</v>
      </c>
    </row>
    <row r="58" customFormat="false" ht="15" hidden="false" customHeight="true" outlineLevel="0" collapsed="false">
      <c r="A58" s="7" t="s">
        <v>422</v>
      </c>
      <c r="B58" s="7" t="s">
        <v>423</v>
      </c>
      <c r="C58" s="8" t="s">
        <v>75</v>
      </c>
      <c r="D58" s="9" t="s">
        <v>76</v>
      </c>
      <c r="E58" s="10" t="s">
        <v>75</v>
      </c>
      <c r="F58" s="9" t="s">
        <v>90</v>
      </c>
      <c r="G58" s="11" t="n">
        <v>44817</v>
      </c>
      <c r="H58" s="11" t="n">
        <v>44871</v>
      </c>
      <c r="I58" s="12" t="n">
        <v>33588</v>
      </c>
      <c r="J58" s="9" t="n">
        <v>5</v>
      </c>
      <c r="K58" s="8" t="s">
        <v>78</v>
      </c>
      <c r="L58" s="13" t="n">
        <v>0.2</v>
      </c>
      <c r="M58" s="12" t="n">
        <v>1</v>
      </c>
      <c r="N58" s="12" t="n">
        <v>17459</v>
      </c>
      <c r="O58" s="12" t="n">
        <v>16129</v>
      </c>
      <c r="P58" s="14" t="n">
        <f aca="false">IF(K58="定額",ROUND((I58-M58)/J58/12,0),ROUND(I58*L58/12,0))</f>
        <v>560</v>
      </c>
      <c r="Q58" s="14" t="n">
        <f aca="false">IF(K58="定額",ROUND((I58-M58)/J58/12,0),ROUND(I58*L58/12,0))</f>
        <v>560</v>
      </c>
      <c r="R58" s="14" t="n">
        <f aca="false">IF(K58="定額",ROUND((I58-M58)/J58/12,0),ROUND(I58*L58/12,0))</f>
        <v>560</v>
      </c>
      <c r="S58" s="14" t="n">
        <f aca="false">IF(K58="定額",ROUND((I58-M58)/J58/12,0),ROUND(I58*L58/12,0))</f>
        <v>560</v>
      </c>
      <c r="T58" s="14" t="n">
        <f aca="false">IF(K58="定額",ROUND((I58-M58)/J58/12,0),ROUND(I58*L58/12,0))</f>
        <v>560</v>
      </c>
      <c r="U58" s="14" t="n">
        <f aca="false">IF(K58="定額",ROUND((I58-M58)/J58/12,0),ROUND(I58*L58/12,0))</f>
        <v>560</v>
      </c>
      <c r="V58" s="14" t="n">
        <f aca="false">IF(K58="定額",ROUND((I58-M58)/J58/12,0),ROUND(I58*L58/12,0))</f>
        <v>560</v>
      </c>
      <c r="W58" s="14" t="n">
        <f aca="false">IF(K58="定額",ROUND((I58-M58)/J58/12,0),ROUND(I58*L58/12,0))</f>
        <v>560</v>
      </c>
      <c r="X58" s="14" t="n">
        <f aca="false">IF(K58="定額",ROUND((I58-M58)/J58/12,0),ROUND(I58*L58/12,0))</f>
        <v>560</v>
      </c>
      <c r="Y58" s="14" t="n">
        <f aca="false">IF(K58="定額",ROUND((I58-M58)/J58/12,0),ROUND(I58*L58/12,0))</f>
        <v>560</v>
      </c>
      <c r="Z58" s="14" t="n">
        <f aca="false">IF(K58="定額",ROUND((I58-M58)/J58/12,0),ROUND(I58*L58/12,0))</f>
        <v>560</v>
      </c>
      <c r="AA58" s="14" t="n">
        <f aca="false">IF(K58="定額",ROUND((I58-M58)/J58/12,0),ROUND(I58*L58/12,0))</f>
        <v>560</v>
      </c>
      <c r="AB58" s="15" t="n">
        <f aca="false">SUM(P58:AA58)</f>
        <v>6720</v>
      </c>
      <c r="AC58" s="15" t="n">
        <f aca="false">O58+AB58</f>
        <v>22849</v>
      </c>
      <c r="AD58" s="15" t="n">
        <f aca="false">I58-AC58</f>
        <v>10739</v>
      </c>
      <c r="AE58" s="10" t="s">
        <v>154</v>
      </c>
      <c r="AF58" s="10" t="s">
        <v>155</v>
      </c>
      <c r="AG58" s="9" t="s">
        <v>156</v>
      </c>
      <c r="AH58" s="10" t="s">
        <v>157</v>
      </c>
      <c r="AI58" s="7" t="s">
        <v>424</v>
      </c>
      <c r="AJ58" s="7" t="s">
        <v>84</v>
      </c>
      <c r="AK58" s="7" t="s">
        <v>85</v>
      </c>
      <c r="AL58" s="8" t="s">
        <v>87</v>
      </c>
      <c r="AM58" s="7" t="s">
        <v>90</v>
      </c>
      <c r="AN58" s="11"/>
      <c r="AO58" s="11" t="n">
        <v>45794</v>
      </c>
      <c r="AP58" s="11" t="n">
        <v>46079</v>
      </c>
      <c r="AQ58" s="8" t="s">
        <v>87</v>
      </c>
      <c r="AR58" s="12"/>
      <c r="AS58" s="12"/>
      <c r="AT58" s="12"/>
      <c r="AU58" s="7" t="s">
        <v>425</v>
      </c>
      <c r="AV58" s="7" t="s">
        <v>426</v>
      </c>
      <c r="AW58" s="9" t="s">
        <v>142</v>
      </c>
      <c r="AX58" s="8" t="s">
        <v>116</v>
      </c>
      <c r="AY58" s="8" t="s">
        <v>92</v>
      </c>
      <c r="AZ58" s="11"/>
      <c r="BA58" s="7" t="s">
        <v>90</v>
      </c>
      <c r="BB58" s="8" t="s">
        <v>87</v>
      </c>
      <c r="BC58" s="11"/>
      <c r="BD58" s="11"/>
      <c r="BE58" s="12"/>
      <c r="BF58" s="11"/>
      <c r="BG58" s="12"/>
      <c r="BH58" s="12"/>
      <c r="BI58" s="10" t="s">
        <v>164</v>
      </c>
    </row>
    <row r="59" customFormat="false" ht="15" hidden="false" customHeight="true" outlineLevel="0" collapsed="false">
      <c r="A59" s="16" t="s">
        <v>427</v>
      </c>
      <c r="B59" s="17" t="s">
        <v>428</v>
      </c>
      <c r="C59" s="18" t="s">
        <v>221</v>
      </c>
      <c r="D59" s="19" t="s">
        <v>222</v>
      </c>
      <c r="E59" s="17" t="s">
        <v>221</v>
      </c>
      <c r="F59" s="18" t="s">
        <v>98</v>
      </c>
      <c r="G59" s="20" t="n">
        <v>43624</v>
      </c>
      <c r="H59" s="20" t="n">
        <v>43646</v>
      </c>
      <c r="I59" s="21" t="n">
        <v>259951</v>
      </c>
      <c r="J59" s="19" t="n">
        <v>10</v>
      </c>
      <c r="K59" s="18" t="s">
        <v>123</v>
      </c>
      <c r="L59" s="22" t="n">
        <v>0.2</v>
      </c>
      <c r="M59" s="21" t="n">
        <v>1</v>
      </c>
      <c r="N59" s="21" t="n">
        <v>1</v>
      </c>
      <c r="O59" s="21" t="n">
        <v>259950</v>
      </c>
      <c r="P59" s="23" t="n">
        <f aca="false">IF(K59="定額",ROUND((I59-M59)/J59/12,0),ROUND(I59*L59/12,0))</f>
        <v>4333</v>
      </c>
      <c r="Q59" s="23" t="n">
        <f aca="false">IF(K59="定額",ROUND((I59-M59)/J59/12,0),ROUND(I59*L59/12,0))</f>
        <v>4333</v>
      </c>
      <c r="R59" s="23" t="n">
        <f aca="false">IF(K59="定額",ROUND((I59-M59)/J59/12,0),ROUND(I59*L59/12,0))</f>
        <v>4333</v>
      </c>
      <c r="S59" s="23" t="n">
        <f aca="false">IF(K59="定額",ROUND((I59-M59)/J59/12,0),ROUND(I59*L59/12,0))</f>
        <v>4333</v>
      </c>
      <c r="T59" s="23" t="n">
        <f aca="false">IF(K59="定額",ROUND((I59-M59)/J59/12,0),ROUND(I59*L59/12,0))</f>
        <v>4333</v>
      </c>
      <c r="U59" s="23" t="n">
        <f aca="false">IF(K59="定額",ROUND((I59-M59)/J59/12,0),ROUND(I59*L59/12,0))</f>
        <v>4333</v>
      </c>
      <c r="V59" s="23" t="n">
        <f aca="false">IF(K59="定額",ROUND((I59-M59)/J59/12,0),ROUND(I59*L59/12,0))</f>
        <v>4333</v>
      </c>
      <c r="W59" s="23" t="n">
        <f aca="false">IF(K59="定額",ROUND((I59-M59)/J59/12,0),ROUND(I59*L59/12,0))</f>
        <v>4333</v>
      </c>
      <c r="X59" s="23" t="n">
        <f aca="false">IF(K59="定額",ROUND((I59-M59)/J59/12,0),ROUND(I59*L59/12,0))</f>
        <v>4333</v>
      </c>
      <c r="Y59" s="23" t="n">
        <f aca="false">IF(K59="定額",ROUND((I59-M59)/J59/12,0),ROUND(I59*L59/12,0))</f>
        <v>4333</v>
      </c>
      <c r="Z59" s="23" t="n">
        <f aca="false">IF(K59="定額",ROUND((I59-M59)/J59/12,0),ROUND(I59*L59/12,0))</f>
        <v>4333</v>
      </c>
      <c r="AA59" s="23" t="n">
        <f aca="false">IF(K59="定額",ROUND((I59-M59)/J59/12,0),ROUND(I59*L59/12,0))</f>
        <v>4333</v>
      </c>
      <c r="AB59" s="24" t="n">
        <f aca="false">SUM(P59:AA59)</f>
        <v>51996</v>
      </c>
      <c r="AC59" s="24" t="n">
        <f aca="false">O59+AB59</f>
        <v>311946</v>
      </c>
      <c r="AD59" s="24" t="n">
        <f aca="false">I59-AC59</f>
        <v>-51995</v>
      </c>
      <c r="AE59" s="17" t="s">
        <v>79</v>
      </c>
      <c r="AF59" s="17" t="s">
        <v>80</v>
      </c>
      <c r="AG59" s="19" t="s">
        <v>81</v>
      </c>
      <c r="AH59" s="17" t="s">
        <v>82</v>
      </c>
      <c r="AI59" s="16" t="s">
        <v>429</v>
      </c>
      <c r="AJ59" s="17" t="s">
        <v>159</v>
      </c>
      <c r="AK59" s="16" t="s">
        <v>160</v>
      </c>
      <c r="AL59" s="18" t="s">
        <v>87</v>
      </c>
      <c r="AM59" s="16" t="s">
        <v>90</v>
      </c>
      <c r="AN59" s="20"/>
      <c r="AO59" s="20" t="n">
        <v>45881</v>
      </c>
      <c r="AP59" s="20" t="n">
        <v>46192</v>
      </c>
      <c r="AQ59" s="18" t="s">
        <v>87</v>
      </c>
      <c r="AR59" s="21"/>
      <c r="AS59" s="21"/>
      <c r="AT59" s="21"/>
      <c r="AU59" s="16" t="s">
        <v>430</v>
      </c>
      <c r="AV59" s="16" t="s">
        <v>431</v>
      </c>
      <c r="AW59" s="19" t="s">
        <v>142</v>
      </c>
      <c r="AX59" s="18" t="s">
        <v>116</v>
      </c>
      <c r="AY59" s="18" t="s">
        <v>92</v>
      </c>
      <c r="AZ59" s="20"/>
      <c r="BA59" s="17" t="s">
        <v>93</v>
      </c>
      <c r="BB59" s="18" t="s">
        <v>87</v>
      </c>
      <c r="BC59" s="20"/>
      <c r="BD59" s="20"/>
      <c r="BE59" s="21"/>
      <c r="BF59" s="20"/>
      <c r="BG59" s="21"/>
      <c r="BH59" s="21"/>
      <c r="BI59" s="17" t="s">
        <v>164</v>
      </c>
    </row>
    <row r="60" customFormat="false" ht="15" hidden="false" customHeight="true" outlineLevel="0" collapsed="false">
      <c r="A60" s="7" t="s">
        <v>432</v>
      </c>
      <c r="B60" s="10" t="s">
        <v>433</v>
      </c>
      <c r="C60" s="8" t="s">
        <v>96</v>
      </c>
      <c r="D60" s="9" t="s">
        <v>97</v>
      </c>
      <c r="E60" s="10" t="s">
        <v>96</v>
      </c>
      <c r="F60" s="9" t="s">
        <v>90</v>
      </c>
      <c r="G60" s="11" t="n">
        <v>43790</v>
      </c>
      <c r="H60" s="11" t="n">
        <v>43813</v>
      </c>
      <c r="I60" s="12" t="n">
        <v>2116</v>
      </c>
      <c r="J60" s="9" t="n">
        <v>15</v>
      </c>
      <c r="K60" s="8" t="s">
        <v>78</v>
      </c>
      <c r="L60" s="13" t="n">
        <v>0.067</v>
      </c>
      <c r="M60" s="12" t="n">
        <v>1</v>
      </c>
      <c r="N60" s="12" t="n">
        <v>1370</v>
      </c>
      <c r="O60" s="12" t="n">
        <v>746</v>
      </c>
      <c r="P60" s="14" t="n">
        <f aca="false">IF(K60="定額",ROUND((I60-M60)/J60/12,0),ROUND(I60*L60/12,0))</f>
        <v>12</v>
      </c>
      <c r="Q60" s="14" t="n">
        <f aca="false">IF(K60="定額",ROUND((I60-M60)/J60/12,0),ROUND(I60*L60/12,0))</f>
        <v>12</v>
      </c>
      <c r="R60" s="14" t="n">
        <f aca="false">IF(K60="定額",ROUND((I60-M60)/J60/12,0),ROUND(I60*L60/12,0))</f>
        <v>12</v>
      </c>
      <c r="S60" s="14" t="n">
        <f aca="false">IF(K60="定額",ROUND((I60-M60)/J60/12,0),ROUND(I60*L60/12,0))</f>
        <v>12</v>
      </c>
      <c r="T60" s="14" t="n">
        <f aca="false">IF(K60="定額",ROUND((I60-M60)/J60/12,0),ROUND(I60*L60/12,0))</f>
        <v>12</v>
      </c>
      <c r="U60" s="14" t="n">
        <f aca="false">IF(K60="定額",ROUND((I60-M60)/J60/12,0),ROUND(I60*L60/12,0))</f>
        <v>12</v>
      </c>
      <c r="V60" s="14" t="n">
        <f aca="false">IF(K60="定額",ROUND((I60-M60)/J60/12,0),ROUND(I60*L60/12,0))</f>
        <v>12</v>
      </c>
      <c r="W60" s="14" t="n">
        <f aca="false">IF(K60="定額",ROUND((I60-M60)/J60/12,0),ROUND(I60*L60/12,0))</f>
        <v>12</v>
      </c>
      <c r="X60" s="14" t="n">
        <f aca="false">IF(K60="定額",ROUND((I60-M60)/J60/12,0),ROUND(I60*L60/12,0))</f>
        <v>12</v>
      </c>
      <c r="Y60" s="14" t="n">
        <f aca="false">IF(K60="定額",ROUND((I60-M60)/J60/12,0),ROUND(I60*L60/12,0))</f>
        <v>12</v>
      </c>
      <c r="Z60" s="14" t="n">
        <f aca="false">IF(K60="定額",ROUND((I60-M60)/J60/12,0),ROUND(I60*L60/12,0))</f>
        <v>12</v>
      </c>
      <c r="AA60" s="14" t="n">
        <f aca="false">IF(K60="定額",ROUND((I60-M60)/J60/12,0),ROUND(I60*L60/12,0))</f>
        <v>12</v>
      </c>
      <c r="AB60" s="15" t="n">
        <f aca="false">SUM(P60:AA60)</f>
        <v>144</v>
      </c>
      <c r="AC60" s="15" t="n">
        <f aca="false">O60+AB60</f>
        <v>890</v>
      </c>
      <c r="AD60" s="15" t="n">
        <f aca="false">I60-AC60</f>
        <v>1226</v>
      </c>
      <c r="AE60" s="10" t="s">
        <v>167</v>
      </c>
      <c r="AF60" s="10" t="s">
        <v>168</v>
      </c>
      <c r="AG60" s="9" t="s">
        <v>169</v>
      </c>
      <c r="AH60" s="10" t="s">
        <v>170</v>
      </c>
      <c r="AI60" s="7" t="s">
        <v>434</v>
      </c>
      <c r="AJ60" s="7" t="s">
        <v>84</v>
      </c>
      <c r="AK60" s="7" t="s">
        <v>85</v>
      </c>
      <c r="AL60" s="8" t="s">
        <v>87</v>
      </c>
      <c r="AM60" s="7" t="s">
        <v>90</v>
      </c>
      <c r="AN60" s="11"/>
      <c r="AO60" s="11" t="n">
        <v>45786</v>
      </c>
      <c r="AP60" s="11" t="n">
        <v>46220</v>
      </c>
      <c r="AQ60" s="8" t="s">
        <v>87</v>
      </c>
      <c r="AR60" s="12"/>
      <c r="AS60" s="12"/>
      <c r="AT60" s="12"/>
      <c r="AU60" s="7" t="s">
        <v>435</v>
      </c>
      <c r="AV60" s="7" t="s">
        <v>436</v>
      </c>
      <c r="AW60" s="9" t="s">
        <v>90</v>
      </c>
      <c r="AX60" s="8" t="s">
        <v>116</v>
      </c>
      <c r="AY60" s="8" t="s">
        <v>174</v>
      </c>
      <c r="AZ60" s="11" t="n">
        <v>45903</v>
      </c>
      <c r="BA60" s="10" t="s">
        <v>293</v>
      </c>
      <c r="BB60" s="8" t="s">
        <v>87</v>
      </c>
      <c r="BC60" s="11"/>
      <c r="BD60" s="11"/>
      <c r="BE60" s="12"/>
      <c r="BF60" s="11"/>
      <c r="BG60" s="12"/>
      <c r="BH60" s="12"/>
      <c r="BI60" s="10" t="s">
        <v>133</v>
      </c>
    </row>
    <row r="61" customFormat="false" ht="15" hidden="false" customHeight="true" outlineLevel="0" collapsed="false">
      <c r="A61" s="16" t="s">
        <v>437</v>
      </c>
      <c r="B61" s="17" t="s">
        <v>438</v>
      </c>
      <c r="C61" s="18" t="s">
        <v>221</v>
      </c>
      <c r="D61" s="19" t="s">
        <v>222</v>
      </c>
      <c r="E61" s="17" t="s">
        <v>221</v>
      </c>
      <c r="F61" s="18" t="s">
        <v>77</v>
      </c>
      <c r="G61" s="20" t="n">
        <v>45269</v>
      </c>
      <c r="H61" s="20" t="n">
        <v>45280</v>
      </c>
      <c r="I61" s="21" t="n">
        <v>3042</v>
      </c>
      <c r="J61" s="19" t="n">
        <v>10</v>
      </c>
      <c r="K61" s="18" t="s">
        <v>123</v>
      </c>
      <c r="L61" s="22" t="n">
        <v>0.2</v>
      </c>
      <c r="M61" s="21" t="n">
        <v>1</v>
      </c>
      <c r="N61" s="21" t="n">
        <v>2263</v>
      </c>
      <c r="O61" s="21" t="n">
        <v>779</v>
      </c>
      <c r="P61" s="23" t="n">
        <f aca="false">IF(K61="定額",ROUND((I61-M61)/J61/12,0),ROUND(I61*L61/12,0))</f>
        <v>51</v>
      </c>
      <c r="Q61" s="23" t="n">
        <f aca="false">IF(K61="定額",ROUND((I61-M61)/J61/12,0),ROUND(I61*L61/12,0))</f>
        <v>51</v>
      </c>
      <c r="R61" s="23" t="n">
        <f aca="false">IF(K61="定額",ROUND((I61-M61)/J61/12,0),ROUND(I61*L61/12,0))</f>
        <v>51</v>
      </c>
      <c r="S61" s="23" t="n">
        <f aca="false">IF(K61="定額",ROUND((I61-M61)/J61/12,0),ROUND(I61*L61/12,0))</f>
        <v>51</v>
      </c>
      <c r="T61" s="23" t="n">
        <f aca="false">IF(K61="定額",ROUND((I61-M61)/J61/12,0),ROUND(I61*L61/12,0))</f>
        <v>51</v>
      </c>
      <c r="U61" s="23" t="n">
        <f aca="false">IF(K61="定額",ROUND((I61-M61)/J61/12,0),ROUND(I61*L61/12,0))</f>
        <v>51</v>
      </c>
      <c r="V61" s="23" t="n">
        <f aca="false">IF(K61="定額",ROUND((I61-M61)/J61/12,0),ROUND(I61*L61/12,0))</f>
        <v>51</v>
      </c>
      <c r="W61" s="23" t="n">
        <f aca="false">IF(K61="定額",ROUND((I61-M61)/J61/12,0),ROUND(I61*L61/12,0))</f>
        <v>51</v>
      </c>
      <c r="X61" s="23" t="n">
        <f aca="false">IF(K61="定額",ROUND((I61-M61)/J61/12,0),ROUND(I61*L61/12,0))</f>
        <v>51</v>
      </c>
      <c r="Y61" s="23" t="n">
        <f aca="false">IF(K61="定額",ROUND((I61-M61)/J61/12,0),ROUND(I61*L61/12,0))</f>
        <v>51</v>
      </c>
      <c r="Z61" s="23" t="n">
        <f aca="false">IF(K61="定額",ROUND((I61-M61)/J61/12,0),ROUND(I61*L61/12,0))</f>
        <v>51</v>
      </c>
      <c r="AA61" s="23" t="n">
        <f aca="false">IF(K61="定額",ROUND((I61-M61)/J61/12,0),ROUND(I61*L61/12,0))</f>
        <v>51</v>
      </c>
      <c r="AB61" s="24" t="n">
        <f aca="false">SUM(P61:AA61)</f>
        <v>612</v>
      </c>
      <c r="AC61" s="24" t="n">
        <f aca="false">O61+AB61</f>
        <v>1391</v>
      </c>
      <c r="AD61" s="24" t="n">
        <f aca="false">I61-AC61</f>
        <v>1651</v>
      </c>
      <c r="AE61" s="17" t="s">
        <v>79</v>
      </c>
      <c r="AF61" s="17" t="s">
        <v>306</v>
      </c>
      <c r="AG61" s="19" t="s">
        <v>307</v>
      </c>
      <c r="AH61" s="17" t="s">
        <v>308</v>
      </c>
      <c r="AI61" s="16" t="s">
        <v>439</v>
      </c>
      <c r="AJ61" s="16" t="s">
        <v>104</v>
      </c>
      <c r="AK61" s="16" t="s">
        <v>105</v>
      </c>
      <c r="AL61" s="18" t="s">
        <v>87</v>
      </c>
      <c r="AM61" s="16" t="s">
        <v>90</v>
      </c>
      <c r="AN61" s="20"/>
      <c r="AO61" s="20" t="n">
        <v>45771</v>
      </c>
      <c r="AP61" s="20" t="n">
        <v>46127</v>
      </c>
      <c r="AQ61" s="18" t="s">
        <v>87</v>
      </c>
      <c r="AR61" s="21"/>
      <c r="AS61" s="21"/>
      <c r="AT61" s="21"/>
      <c r="AU61" s="16" t="s">
        <v>440</v>
      </c>
      <c r="AV61" s="16" t="s">
        <v>441</v>
      </c>
      <c r="AW61" s="19" t="s">
        <v>90</v>
      </c>
      <c r="AX61" s="18" t="s">
        <v>91</v>
      </c>
      <c r="AY61" s="18" t="s">
        <v>92</v>
      </c>
      <c r="AZ61" s="20" t="n">
        <v>45951</v>
      </c>
      <c r="BA61" s="17" t="s">
        <v>163</v>
      </c>
      <c r="BB61" s="18" t="s">
        <v>87</v>
      </c>
      <c r="BC61" s="20"/>
      <c r="BD61" s="20"/>
      <c r="BE61" s="21"/>
      <c r="BF61" s="20"/>
      <c r="BG61" s="21"/>
      <c r="BH61" s="21"/>
      <c r="BI61" s="17" t="s">
        <v>118</v>
      </c>
    </row>
    <row r="62" customFormat="false" ht="15" hidden="false" customHeight="true" outlineLevel="0" collapsed="false">
      <c r="A62" s="7" t="s">
        <v>442</v>
      </c>
      <c r="B62" s="10" t="s">
        <v>443</v>
      </c>
      <c r="C62" s="8" t="s">
        <v>199</v>
      </c>
      <c r="D62" s="9" t="s">
        <v>200</v>
      </c>
      <c r="E62" s="10" t="s">
        <v>199</v>
      </c>
      <c r="F62" s="9" t="s">
        <v>90</v>
      </c>
      <c r="G62" s="11" t="n">
        <v>45036</v>
      </c>
      <c r="H62" s="11" t="n">
        <v>45049</v>
      </c>
      <c r="I62" s="12" t="n">
        <v>314528</v>
      </c>
      <c r="J62" s="9" t="n">
        <v>5</v>
      </c>
      <c r="K62" s="8" t="s">
        <v>78</v>
      </c>
      <c r="L62" s="13" t="n">
        <v>0.2</v>
      </c>
      <c r="M62" s="12" t="n">
        <v>1</v>
      </c>
      <c r="N62" s="12" t="n">
        <v>194143</v>
      </c>
      <c r="O62" s="12" t="n">
        <v>120385</v>
      </c>
      <c r="P62" s="14" t="n">
        <f aca="false">IF(K62="定額",ROUND((I62-M62)/J62/12,0),ROUND(I62*L62/12,0))</f>
        <v>5242</v>
      </c>
      <c r="Q62" s="14" t="n">
        <f aca="false">IF(K62="定額",ROUND((I62-M62)/J62/12,0),ROUND(I62*L62/12,0))</f>
        <v>5242</v>
      </c>
      <c r="R62" s="14" t="n">
        <f aca="false">IF(K62="定額",ROUND((I62-M62)/J62/12,0),ROUND(I62*L62/12,0))</f>
        <v>5242</v>
      </c>
      <c r="S62" s="14" t="n">
        <f aca="false">IF(K62="定額",ROUND((I62-M62)/J62/12,0),ROUND(I62*L62/12,0))</f>
        <v>5242</v>
      </c>
      <c r="T62" s="14" t="n">
        <f aca="false">IF(K62="定額",ROUND((I62-M62)/J62/12,0),ROUND(I62*L62/12,0))</f>
        <v>5242</v>
      </c>
      <c r="U62" s="14" t="n">
        <f aca="false">IF(K62="定額",ROUND((I62-M62)/J62/12,0),ROUND(I62*L62/12,0))</f>
        <v>5242</v>
      </c>
      <c r="V62" s="14" t="n">
        <f aca="false">IF(K62="定額",ROUND((I62-M62)/J62/12,0),ROUND(I62*L62/12,0))</f>
        <v>5242</v>
      </c>
      <c r="W62" s="14" t="n">
        <f aca="false">IF(K62="定額",ROUND((I62-M62)/J62/12,0),ROUND(I62*L62/12,0))</f>
        <v>5242</v>
      </c>
      <c r="X62" s="14" t="n">
        <f aca="false">IF(K62="定額",ROUND((I62-M62)/J62/12,0),ROUND(I62*L62/12,0))</f>
        <v>5242</v>
      </c>
      <c r="Y62" s="14" t="n">
        <f aca="false">IF(K62="定額",ROUND((I62-M62)/J62/12,0),ROUND(I62*L62/12,0))</f>
        <v>5242</v>
      </c>
      <c r="Z62" s="14" t="n">
        <f aca="false">IF(K62="定額",ROUND((I62-M62)/J62/12,0),ROUND(I62*L62/12,0))</f>
        <v>5242</v>
      </c>
      <c r="AA62" s="14" t="n">
        <f aca="false">IF(K62="定額",ROUND((I62-M62)/J62/12,0),ROUND(I62*L62/12,0))</f>
        <v>5242</v>
      </c>
      <c r="AB62" s="15" t="n">
        <f aca="false">SUM(P62:AA62)</f>
        <v>62904</v>
      </c>
      <c r="AC62" s="15" t="n">
        <f aca="false">O62+AB62</f>
        <v>183289</v>
      </c>
      <c r="AD62" s="15" t="n">
        <f aca="false">I62-AC62</f>
        <v>131239</v>
      </c>
      <c r="AE62" s="10" t="s">
        <v>167</v>
      </c>
      <c r="AF62" s="10" t="s">
        <v>277</v>
      </c>
      <c r="AG62" s="9" t="s">
        <v>278</v>
      </c>
      <c r="AH62" s="10" t="s">
        <v>279</v>
      </c>
      <c r="AI62" s="7" t="s">
        <v>444</v>
      </c>
      <c r="AJ62" s="7" t="s">
        <v>84</v>
      </c>
      <c r="AK62" s="7" t="s">
        <v>85</v>
      </c>
      <c r="AL62" s="8" t="s">
        <v>87</v>
      </c>
      <c r="AM62" s="7" t="s">
        <v>90</v>
      </c>
      <c r="AN62" s="11"/>
      <c r="AO62" s="11" t="n">
        <v>45860</v>
      </c>
      <c r="AP62" s="11" t="n">
        <v>46117</v>
      </c>
      <c r="AQ62" s="8" t="s">
        <v>87</v>
      </c>
      <c r="AR62" s="12"/>
      <c r="AS62" s="12"/>
      <c r="AT62" s="12"/>
      <c r="AU62" s="7" t="s">
        <v>445</v>
      </c>
      <c r="AV62" s="7" t="s">
        <v>446</v>
      </c>
      <c r="AW62" s="9" t="s">
        <v>142</v>
      </c>
      <c r="AX62" s="8" t="s">
        <v>116</v>
      </c>
      <c r="AY62" s="8" t="s">
        <v>92</v>
      </c>
      <c r="AZ62" s="11"/>
      <c r="BA62" s="10" t="s">
        <v>117</v>
      </c>
      <c r="BB62" s="8" t="s">
        <v>87</v>
      </c>
      <c r="BC62" s="11"/>
      <c r="BD62" s="11"/>
      <c r="BE62" s="12"/>
      <c r="BF62" s="11"/>
      <c r="BG62" s="12"/>
      <c r="BH62" s="12"/>
      <c r="BI62" s="10" t="s">
        <v>164</v>
      </c>
    </row>
    <row r="63" customFormat="false" ht="15" hidden="false" customHeight="true" outlineLevel="0" collapsed="false">
      <c r="A63" s="16" t="s">
        <v>447</v>
      </c>
      <c r="B63" s="16" t="s">
        <v>448</v>
      </c>
      <c r="C63" s="18" t="s">
        <v>75</v>
      </c>
      <c r="D63" s="19" t="s">
        <v>76</v>
      </c>
      <c r="E63" s="17" t="s">
        <v>75</v>
      </c>
      <c r="F63" s="18" t="s">
        <v>136</v>
      </c>
      <c r="G63" s="20" t="n">
        <v>44541</v>
      </c>
      <c r="H63" s="20" t="n">
        <v>44554</v>
      </c>
      <c r="I63" s="21" t="n">
        <v>182118</v>
      </c>
      <c r="J63" s="19" t="n">
        <v>5</v>
      </c>
      <c r="K63" s="18" t="s">
        <v>78</v>
      </c>
      <c r="L63" s="22" t="n">
        <v>0.2</v>
      </c>
      <c r="M63" s="21" t="n">
        <v>1</v>
      </c>
      <c r="N63" s="21" t="n">
        <v>63051</v>
      </c>
      <c r="O63" s="21" t="n">
        <v>119067</v>
      </c>
      <c r="P63" s="23" t="n">
        <f aca="false">IF(K63="定額",ROUND((I63-M63)/J63/12,0),ROUND(I63*L63/12,0))</f>
        <v>3035</v>
      </c>
      <c r="Q63" s="23" t="n">
        <f aca="false">IF(K63="定額",ROUND((I63-M63)/J63/12,0),ROUND(I63*L63/12,0))</f>
        <v>3035</v>
      </c>
      <c r="R63" s="23" t="n">
        <f aca="false">IF(K63="定額",ROUND((I63-M63)/J63/12,0),ROUND(I63*L63/12,0))</f>
        <v>3035</v>
      </c>
      <c r="S63" s="23" t="n">
        <f aca="false">IF(K63="定額",ROUND((I63-M63)/J63/12,0),ROUND(I63*L63/12,0))</f>
        <v>3035</v>
      </c>
      <c r="T63" s="23" t="n">
        <f aca="false">IF(K63="定額",ROUND((I63-M63)/J63/12,0),ROUND(I63*L63/12,0))</f>
        <v>3035</v>
      </c>
      <c r="U63" s="23" t="n">
        <f aca="false">IF(K63="定額",ROUND((I63-M63)/J63/12,0),ROUND(I63*L63/12,0))</f>
        <v>3035</v>
      </c>
      <c r="V63" s="23" t="n">
        <f aca="false">IF(K63="定額",ROUND((I63-M63)/J63/12,0),ROUND(I63*L63/12,0))</f>
        <v>3035</v>
      </c>
      <c r="W63" s="23" t="n">
        <f aca="false">IF(K63="定額",ROUND((I63-M63)/J63/12,0),ROUND(I63*L63/12,0))</f>
        <v>3035</v>
      </c>
      <c r="X63" s="23" t="n">
        <f aca="false">IF(K63="定額",ROUND((I63-M63)/J63/12,0),ROUND(I63*L63/12,0))</f>
        <v>3035</v>
      </c>
      <c r="Y63" s="23" t="n">
        <f aca="false">IF(K63="定額",ROUND((I63-M63)/J63/12,0),ROUND(I63*L63/12,0))</f>
        <v>3035</v>
      </c>
      <c r="Z63" s="23" t="n">
        <f aca="false">IF(K63="定額",ROUND((I63-M63)/J63/12,0),ROUND(I63*L63/12,0))</f>
        <v>3035</v>
      </c>
      <c r="AA63" s="23" t="n">
        <f aca="false">IF(K63="定額",ROUND((I63-M63)/J63/12,0),ROUND(I63*L63/12,0))</f>
        <v>3035</v>
      </c>
      <c r="AB63" s="24" t="n">
        <f aca="false">SUM(P63:AA63)</f>
        <v>36420</v>
      </c>
      <c r="AC63" s="24" t="n">
        <f aca="false">O63+AB63</f>
        <v>155487</v>
      </c>
      <c r="AD63" s="24" t="n">
        <f aca="false">I63-AC63</f>
        <v>26631</v>
      </c>
      <c r="AE63" s="17" t="s">
        <v>154</v>
      </c>
      <c r="AF63" s="17" t="s">
        <v>155</v>
      </c>
      <c r="AG63" s="19" t="s">
        <v>156</v>
      </c>
      <c r="AH63" s="17" t="s">
        <v>157</v>
      </c>
      <c r="AI63" s="16" t="s">
        <v>449</v>
      </c>
      <c r="AJ63" s="16" t="s">
        <v>84</v>
      </c>
      <c r="AK63" s="16" t="s">
        <v>85</v>
      </c>
      <c r="AL63" s="18" t="s">
        <v>87</v>
      </c>
      <c r="AM63" s="16" t="s">
        <v>90</v>
      </c>
      <c r="AN63" s="20"/>
      <c r="AO63" s="20" t="n">
        <v>45722</v>
      </c>
      <c r="AP63" s="20" t="n">
        <v>46131</v>
      </c>
      <c r="AQ63" s="18" t="s">
        <v>87</v>
      </c>
      <c r="AR63" s="21"/>
      <c r="AS63" s="21"/>
      <c r="AT63" s="21"/>
      <c r="AU63" s="16" t="s">
        <v>450</v>
      </c>
      <c r="AV63" s="16" t="s">
        <v>451</v>
      </c>
      <c r="AW63" s="19" t="s">
        <v>142</v>
      </c>
      <c r="AX63" s="18" t="s">
        <v>116</v>
      </c>
      <c r="AY63" s="18" t="s">
        <v>92</v>
      </c>
      <c r="AZ63" s="20" t="n">
        <v>45927</v>
      </c>
      <c r="BA63" s="17" t="s">
        <v>163</v>
      </c>
      <c r="BB63" s="18" t="s">
        <v>87</v>
      </c>
      <c r="BC63" s="20"/>
      <c r="BD63" s="20"/>
      <c r="BE63" s="21"/>
      <c r="BF63" s="20"/>
      <c r="BG63" s="21"/>
      <c r="BH63" s="21"/>
      <c r="BI63" s="17" t="s">
        <v>164</v>
      </c>
    </row>
    <row r="64" customFormat="false" ht="15" hidden="false" customHeight="true" outlineLevel="0" collapsed="false">
      <c r="A64" s="7" t="s">
        <v>452</v>
      </c>
      <c r="B64" s="7" t="s">
        <v>453</v>
      </c>
      <c r="C64" s="8" t="s">
        <v>75</v>
      </c>
      <c r="D64" s="9" t="s">
        <v>76</v>
      </c>
      <c r="E64" s="10" t="s">
        <v>75</v>
      </c>
      <c r="F64" s="9" t="s">
        <v>90</v>
      </c>
      <c r="G64" s="11" t="n">
        <v>44925</v>
      </c>
      <c r="H64" s="11" t="n">
        <v>44964</v>
      </c>
      <c r="I64" s="12" t="n">
        <v>6194</v>
      </c>
      <c r="J64" s="9" t="n">
        <v>5</v>
      </c>
      <c r="K64" s="8" t="s">
        <v>78</v>
      </c>
      <c r="L64" s="13" t="n">
        <v>0.2</v>
      </c>
      <c r="M64" s="12" t="n">
        <v>1</v>
      </c>
      <c r="N64" s="12" t="n">
        <v>3536</v>
      </c>
      <c r="O64" s="12" t="n">
        <v>2658</v>
      </c>
      <c r="P64" s="14" t="n">
        <f aca="false">IF(K64="定額",ROUND((I64-M64)/J64/12,0),ROUND(I64*L64/12,0))</f>
        <v>103</v>
      </c>
      <c r="Q64" s="14" t="n">
        <f aca="false">IF(K64="定額",ROUND((I64-M64)/J64/12,0),ROUND(I64*L64/12,0))</f>
        <v>103</v>
      </c>
      <c r="R64" s="14" t="n">
        <f aca="false">IF(K64="定額",ROUND((I64-M64)/J64/12,0),ROUND(I64*L64/12,0))</f>
        <v>103</v>
      </c>
      <c r="S64" s="14" t="n">
        <f aca="false">IF(K64="定額",ROUND((I64-M64)/J64/12,0),ROUND(I64*L64/12,0))</f>
        <v>103</v>
      </c>
      <c r="T64" s="14" t="n">
        <f aca="false">IF(K64="定額",ROUND((I64-M64)/J64/12,0),ROUND(I64*L64/12,0))</f>
        <v>103</v>
      </c>
      <c r="U64" s="14" t="n">
        <f aca="false">IF(K64="定額",ROUND((I64-M64)/J64/12,0),ROUND(I64*L64/12,0))</f>
        <v>103</v>
      </c>
      <c r="V64" s="14" t="n">
        <f aca="false">IF(K64="定額",ROUND((I64-M64)/J64/12,0),ROUND(I64*L64/12,0))</f>
        <v>103</v>
      </c>
      <c r="W64" s="14" t="n">
        <f aca="false">IF(K64="定額",ROUND((I64-M64)/J64/12,0),ROUND(I64*L64/12,0))</f>
        <v>103</v>
      </c>
      <c r="X64" s="14" t="n">
        <f aca="false">IF(K64="定額",ROUND((I64-M64)/J64/12,0),ROUND(I64*L64/12,0))</f>
        <v>103</v>
      </c>
      <c r="Y64" s="14" t="n">
        <f aca="false">IF(K64="定額",ROUND((I64-M64)/J64/12,0),ROUND(I64*L64/12,0))</f>
        <v>103</v>
      </c>
      <c r="Z64" s="14" t="n">
        <f aca="false">IF(K64="定額",ROUND((I64-M64)/J64/12,0),ROUND(I64*L64/12,0))</f>
        <v>103</v>
      </c>
      <c r="AA64" s="14" t="n">
        <f aca="false">IF(K64="定額",ROUND((I64-M64)/J64/12,0),ROUND(I64*L64/12,0))</f>
        <v>103</v>
      </c>
      <c r="AB64" s="15" t="n">
        <f aca="false">SUM(P64:AA64)</f>
        <v>1236</v>
      </c>
      <c r="AC64" s="15" t="n">
        <f aca="false">O64+AB64</f>
        <v>3894</v>
      </c>
      <c r="AD64" s="15" t="n">
        <f aca="false">I64-AC64</f>
        <v>2300</v>
      </c>
      <c r="AE64" s="10" t="s">
        <v>79</v>
      </c>
      <c r="AF64" s="10" t="s">
        <v>80</v>
      </c>
      <c r="AG64" s="9" t="s">
        <v>81</v>
      </c>
      <c r="AH64" s="10" t="s">
        <v>82</v>
      </c>
      <c r="AI64" s="7" t="s">
        <v>454</v>
      </c>
      <c r="AJ64" s="7" t="s">
        <v>129</v>
      </c>
      <c r="AK64" s="7" t="s">
        <v>130</v>
      </c>
      <c r="AL64" s="8" t="s">
        <v>87</v>
      </c>
      <c r="AM64" s="7" t="s">
        <v>90</v>
      </c>
      <c r="AN64" s="11"/>
      <c r="AO64" s="11" t="n">
        <v>45861</v>
      </c>
      <c r="AP64" s="11" t="n">
        <v>45970</v>
      </c>
      <c r="AQ64" s="8" t="s">
        <v>87</v>
      </c>
      <c r="AR64" s="12"/>
      <c r="AS64" s="12"/>
      <c r="AT64" s="12"/>
      <c r="AU64" s="7" t="s">
        <v>455</v>
      </c>
      <c r="AV64" s="7" t="s">
        <v>456</v>
      </c>
      <c r="AW64" s="9" t="s">
        <v>90</v>
      </c>
      <c r="AX64" s="8" t="s">
        <v>116</v>
      </c>
      <c r="AY64" s="8" t="s">
        <v>218</v>
      </c>
      <c r="AZ64" s="11" t="n">
        <v>45947</v>
      </c>
      <c r="BA64" s="7" t="s">
        <v>143</v>
      </c>
      <c r="BB64" s="8" t="s">
        <v>87</v>
      </c>
      <c r="BC64" s="11"/>
      <c r="BD64" s="11"/>
      <c r="BE64" s="12" t="n">
        <v>3742</v>
      </c>
      <c r="BF64" s="11" t="n">
        <v>45874</v>
      </c>
      <c r="BG64" s="12" t="n">
        <v>3742</v>
      </c>
      <c r="BH64" s="15" t="n">
        <f aca="false">BG64-AD64</f>
        <v>1442</v>
      </c>
      <c r="BI64" s="10" t="s">
        <v>110</v>
      </c>
    </row>
    <row r="65" customFormat="false" ht="15" hidden="false" customHeight="true" outlineLevel="0" collapsed="false">
      <c r="A65" s="16" t="s">
        <v>457</v>
      </c>
      <c r="B65" s="17" t="s">
        <v>458</v>
      </c>
      <c r="C65" s="18" t="s">
        <v>96</v>
      </c>
      <c r="D65" s="19" t="s">
        <v>97</v>
      </c>
      <c r="E65" s="17" t="s">
        <v>96</v>
      </c>
      <c r="F65" s="18" t="s">
        <v>98</v>
      </c>
      <c r="G65" s="20" t="n">
        <v>43869</v>
      </c>
      <c r="H65" s="20" t="n">
        <v>43922</v>
      </c>
      <c r="I65" s="21" t="n">
        <v>7863</v>
      </c>
      <c r="J65" s="19" t="n">
        <v>15</v>
      </c>
      <c r="K65" s="18" t="s">
        <v>78</v>
      </c>
      <c r="L65" s="22" t="n">
        <v>0.067</v>
      </c>
      <c r="M65" s="21" t="n">
        <v>1</v>
      </c>
      <c r="N65" s="21" t="n">
        <v>5243</v>
      </c>
      <c r="O65" s="21" t="n">
        <v>2620</v>
      </c>
      <c r="P65" s="23" t="n">
        <f aca="false">IF(K65="定額",ROUND((I65-M65)/J65/12,0),ROUND(I65*L65/12,0))</f>
        <v>44</v>
      </c>
      <c r="Q65" s="23" t="n">
        <f aca="false">IF(K65="定額",ROUND((I65-M65)/J65/12,0),ROUND(I65*L65/12,0))</f>
        <v>44</v>
      </c>
      <c r="R65" s="23" t="n">
        <f aca="false">IF(K65="定額",ROUND((I65-M65)/J65/12,0),ROUND(I65*L65/12,0))</f>
        <v>44</v>
      </c>
      <c r="S65" s="23" t="n">
        <f aca="false">IF(K65="定額",ROUND((I65-M65)/J65/12,0),ROUND(I65*L65/12,0))</f>
        <v>44</v>
      </c>
      <c r="T65" s="23" t="n">
        <f aca="false">IF(K65="定額",ROUND((I65-M65)/J65/12,0),ROUND(I65*L65/12,0))</f>
        <v>44</v>
      </c>
      <c r="U65" s="23" t="n">
        <f aca="false">IF(K65="定額",ROUND((I65-M65)/J65/12,0),ROUND(I65*L65/12,0))</f>
        <v>44</v>
      </c>
      <c r="V65" s="23" t="n">
        <f aca="false">IF(K65="定額",ROUND((I65-M65)/J65/12,0),ROUND(I65*L65/12,0))</f>
        <v>44</v>
      </c>
      <c r="W65" s="23" t="n">
        <f aca="false">IF(K65="定額",ROUND((I65-M65)/J65/12,0),ROUND(I65*L65/12,0))</f>
        <v>44</v>
      </c>
      <c r="X65" s="23" t="n">
        <f aca="false">IF(K65="定額",ROUND((I65-M65)/J65/12,0),ROUND(I65*L65/12,0))</f>
        <v>44</v>
      </c>
      <c r="Y65" s="23" t="n">
        <f aca="false">IF(K65="定額",ROUND((I65-M65)/J65/12,0),ROUND(I65*L65/12,0))</f>
        <v>44</v>
      </c>
      <c r="Z65" s="23" t="n">
        <f aca="false">IF(K65="定額",ROUND((I65-M65)/J65/12,0),ROUND(I65*L65/12,0))</f>
        <v>44</v>
      </c>
      <c r="AA65" s="23" t="n">
        <f aca="false">IF(K65="定額",ROUND((I65-M65)/J65/12,0),ROUND(I65*L65/12,0))</f>
        <v>44</v>
      </c>
      <c r="AB65" s="24" t="n">
        <f aca="false">SUM(P65:AA65)</f>
        <v>528</v>
      </c>
      <c r="AC65" s="24" t="n">
        <f aca="false">O65+AB65</f>
        <v>3148</v>
      </c>
      <c r="AD65" s="24" t="n">
        <f aca="false">I65-AC65</f>
        <v>4715</v>
      </c>
      <c r="AE65" s="17" t="s">
        <v>167</v>
      </c>
      <c r="AF65" s="17" t="s">
        <v>277</v>
      </c>
      <c r="AG65" s="19" t="s">
        <v>278</v>
      </c>
      <c r="AH65" s="17" t="s">
        <v>279</v>
      </c>
      <c r="AI65" s="16" t="s">
        <v>459</v>
      </c>
      <c r="AJ65" s="16" t="s">
        <v>129</v>
      </c>
      <c r="AK65" s="16" t="s">
        <v>130</v>
      </c>
      <c r="AL65" s="18" t="s">
        <v>87</v>
      </c>
      <c r="AM65" s="16" t="s">
        <v>90</v>
      </c>
      <c r="AN65" s="20"/>
      <c r="AO65" s="20" t="n">
        <v>45841</v>
      </c>
      <c r="AP65" s="20" t="n">
        <v>46204</v>
      </c>
      <c r="AQ65" s="18" t="s">
        <v>87</v>
      </c>
      <c r="AR65" s="21"/>
      <c r="AS65" s="21"/>
      <c r="AT65" s="21"/>
      <c r="AU65" s="16" t="s">
        <v>460</v>
      </c>
      <c r="AV65" s="16" t="s">
        <v>461</v>
      </c>
      <c r="AW65" s="19" t="s">
        <v>90</v>
      </c>
      <c r="AX65" s="18" t="s">
        <v>108</v>
      </c>
      <c r="AY65" s="18" t="s">
        <v>92</v>
      </c>
      <c r="AZ65" s="20" t="n">
        <v>45945</v>
      </c>
      <c r="BA65" s="17" t="s">
        <v>293</v>
      </c>
      <c r="BB65" s="18" t="s">
        <v>87</v>
      </c>
      <c r="BC65" s="20"/>
      <c r="BD65" s="20"/>
      <c r="BE65" s="21"/>
      <c r="BF65" s="20"/>
      <c r="BG65" s="21"/>
      <c r="BH65" s="21"/>
      <c r="BI65" s="17" t="s">
        <v>118</v>
      </c>
    </row>
    <row r="66" customFormat="false" ht="15" hidden="false" customHeight="true" outlineLevel="0" collapsed="false">
      <c r="A66" s="7" t="s">
        <v>462</v>
      </c>
      <c r="B66" s="10" t="s">
        <v>463</v>
      </c>
      <c r="C66" s="8" t="s">
        <v>199</v>
      </c>
      <c r="D66" s="9" t="s">
        <v>200</v>
      </c>
      <c r="E66" s="10" t="s">
        <v>199</v>
      </c>
      <c r="F66" s="8" t="s">
        <v>77</v>
      </c>
      <c r="G66" s="11" t="n">
        <v>44008</v>
      </c>
      <c r="H66" s="11" t="n">
        <v>44066</v>
      </c>
      <c r="I66" s="12" t="n">
        <v>77357</v>
      </c>
      <c r="J66" s="9" t="n">
        <v>5</v>
      </c>
      <c r="K66" s="8" t="s">
        <v>78</v>
      </c>
      <c r="L66" s="13" t="n">
        <v>0.2</v>
      </c>
      <c r="M66" s="12" t="n">
        <v>1</v>
      </c>
      <c r="N66" s="12" t="n">
        <v>7737</v>
      </c>
      <c r="O66" s="12" t="n">
        <v>69620</v>
      </c>
      <c r="P66" s="14" t="n">
        <f aca="false">IF(K66="定額",ROUND((I66-M66)/J66/12,0),ROUND(I66*L66/12,0))</f>
        <v>1289</v>
      </c>
      <c r="Q66" s="14" t="n">
        <f aca="false">IF(K66="定額",ROUND((I66-M66)/J66/12,0),ROUND(I66*L66/12,0))</f>
        <v>1289</v>
      </c>
      <c r="R66" s="14" t="n">
        <f aca="false">IF(K66="定額",ROUND((I66-M66)/J66/12,0),ROUND(I66*L66/12,0))</f>
        <v>1289</v>
      </c>
      <c r="S66" s="14" t="n">
        <f aca="false">IF(K66="定額",ROUND((I66-M66)/J66/12,0),ROUND(I66*L66/12,0))</f>
        <v>1289</v>
      </c>
      <c r="T66" s="14" t="n">
        <f aca="false">IF(K66="定額",ROUND((I66-M66)/J66/12,0),ROUND(I66*L66/12,0))</f>
        <v>1289</v>
      </c>
      <c r="U66" s="14" t="n">
        <f aca="false">IF(K66="定額",ROUND((I66-M66)/J66/12,0),ROUND(I66*L66/12,0))</f>
        <v>1289</v>
      </c>
      <c r="V66" s="14" t="n">
        <f aca="false">IF(K66="定額",ROUND((I66-M66)/J66/12,0),ROUND(I66*L66/12,0))</f>
        <v>1289</v>
      </c>
      <c r="W66" s="14" t="n">
        <f aca="false">IF(K66="定額",ROUND((I66-M66)/J66/12,0),ROUND(I66*L66/12,0))</f>
        <v>1289</v>
      </c>
      <c r="X66" s="14" t="n">
        <f aca="false">IF(K66="定額",ROUND((I66-M66)/J66/12,0),ROUND(I66*L66/12,0))</f>
        <v>1289</v>
      </c>
      <c r="Y66" s="14" t="n">
        <f aca="false">IF(K66="定額",ROUND((I66-M66)/J66/12,0),ROUND(I66*L66/12,0))</f>
        <v>1289</v>
      </c>
      <c r="Z66" s="14" t="n">
        <f aca="false">IF(K66="定額",ROUND((I66-M66)/J66/12,0),ROUND(I66*L66/12,0))</f>
        <v>1289</v>
      </c>
      <c r="AA66" s="14" t="n">
        <f aca="false">IF(K66="定額",ROUND((I66-M66)/J66/12,0),ROUND(I66*L66/12,0))</f>
        <v>1289</v>
      </c>
      <c r="AB66" s="15" t="n">
        <f aca="false">SUM(P66:AA66)</f>
        <v>15468</v>
      </c>
      <c r="AC66" s="15" t="n">
        <f aca="false">O66+AB66</f>
        <v>85088</v>
      </c>
      <c r="AD66" s="15" t="n">
        <f aca="false">I66-AC66</f>
        <v>-7731</v>
      </c>
      <c r="AE66" s="10" t="s">
        <v>99</v>
      </c>
      <c r="AF66" s="10" t="s">
        <v>100</v>
      </c>
      <c r="AG66" s="9" t="s">
        <v>101</v>
      </c>
      <c r="AH66" s="7" t="s">
        <v>102</v>
      </c>
      <c r="AI66" s="7" t="s">
        <v>464</v>
      </c>
      <c r="AJ66" s="10" t="s">
        <v>188</v>
      </c>
      <c r="AK66" s="7" t="s">
        <v>189</v>
      </c>
      <c r="AL66" s="8" t="s">
        <v>87</v>
      </c>
      <c r="AM66" s="7" t="s">
        <v>90</v>
      </c>
      <c r="AN66" s="11"/>
      <c r="AO66" s="11" t="n">
        <v>45828</v>
      </c>
      <c r="AP66" s="11" t="n">
        <v>45973</v>
      </c>
      <c r="AQ66" s="8" t="s">
        <v>87</v>
      </c>
      <c r="AR66" s="12"/>
      <c r="AS66" s="12"/>
      <c r="AT66" s="12"/>
      <c r="AU66" s="7" t="s">
        <v>465</v>
      </c>
      <c r="AV66" s="7" t="s">
        <v>466</v>
      </c>
      <c r="AW66" s="9" t="s">
        <v>142</v>
      </c>
      <c r="AX66" s="8" t="s">
        <v>116</v>
      </c>
      <c r="AY66" s="8" t="s">
        <v>92</v>
      </c>
      <c r="AZ66" s="11" t="n">
        <v>45903</v>
      </c>
      <c r="BA66" s="10" t="s">
        <v>163</v>
      </c>
      <c r="BB66" s="8" t="s">
        <v>87</v>
      </c>
      <c r="BC66" s="11"/>
      <c r="BD66" s="11"/>
      <c r="BE66" s="12"/>
      <c r="BF66" s="11"/>
      <c r="BG66" s="12"/>
      <c r="BH66" s="12"/>
      <c r="BI66" s="10" t="s">
        <v>133</v>
      </c>
    </row>
    <row r="67" customFormat="false" ht="15" hidden="false" customHeight="true" outlineLevel="0" collapsed="false">
      <c r="A67" s="16" t="s">
        <v>467</v>
      </c>
      <c r="B67" s="17" t="s">
        <v>468</v>
      </c>
      <c r="C67" s="18" t="s">
        <v>152</v>
      </c>
      <c r="D67" s="19" t="s">
        <v>153</v>
      </c>
      <c r="E67" s="17" t="s">
        <v>152</v>
      </c>
      <c r="F67" s="18" t="s">
        <v>98</v>
      </c>
      <c r="G67" s="20" t="n">
        <v>44814</v>
      </c>
      <c r="H67" s="20" t="n">
        <v>44853</v>
      </c>
      <c r="I67" s="21" t="n">
        <v>3563</v>
      </c>
      <c r="J67" s="19" t="n">
        <v>30</v>
      </c>
      <c r="K67" s="18" t="s">
        <v>78</v>
      </c>
      <c r="L67" s="22" t="n">
        <v>0.034</v>
      </c>
      <c r="M67" s="21" t="n">
        <v>178</v>
      </c>
      <c r="N67" s="21" t="n">
        <v>3287</v>
      </c>
      <c r="O67" s="21" t="n">
        <v>276</v>
      </c>
      <c r="P67" s="23" t="n">
        <f aca="false">IF(K67="定額",ROUND((I67-M67)/J67/12,0),ROUND(I67*L67/12,0))</f>
        <v>9</v>
      </c>
      <c r="Q67" s="23" t="n">
        <f aca="false">IF(K67="定額",ROUND((I67-M67)/J67/12,0),ROUND(I67*L67/12,0))</f>
        <v>9</v>
      </c>
      <c r="R67" s="23" t="n">
        <f aca="false">IF(K67="定額",ROUND((I67-M67)/J67/12,0),ROUND(I67*L67/12,0))</f>
        <v>9</v>
      </c>
      <c r="S67" s="23" t="n">
        <f aca="false">IF(K67="定額",ROUND((I67-M67)/J67/12,0),ROUND(I67*L67/12,0))</f>
        <v>9</v>
      </c>
      <c r="T67" s="23" t="n">
        <f aca="false">IF(K67="定額",ROUND((I67-M67)/J67/12,0),ROUND(I67*L67/12,0))</f>
        <v>9</v>
      </c>
      <c r="U67" s="23" t="n">
        <f aca="false">IF(K67="定額",ROUND((I67-M67)/J67/12,0),ROUND(I67*L67/12,0))</f>
        <v>9</v>
      </c>
      <c r="V67" s="23" t="n">
        <f aca="false">IF(K67="定額",ROUND((I67-M67)/J67/12,0),ROUND(I67*L67/12,0))</f>
        <v>9</v>
      </c>
      <c r="W67" s="23" t="n">
        <f aca="false">IF(K67="定額",ROUND((I67-M67)/J67/12,0),ROUND(I67*L67/12,0))</f>
        <v>9</v>
      </c>
      <c r="X67" s="23" t="n">
        <f aca="false">IF(K67="定額",ROUND((I67-M67)/J67/12,0),ROUND(I67*L67/12,0))</f>
        <v>9</v>
      </c>
      <c r="Y67" s="23" t="n">
        <f aca="false">IF(K67="定額",ROUND((I67-M67)/J67/12,0),ROUND(I67*L67/12,0))</f>
        <v>9</v>
      </c>
      <c r="Z67" s="23" t="n">
        <f aca="false">IF(K67="定額",ROUND((I67-M67)/J67/12,0),ROUND(I67*L67/12,0))</f>
        <v>9</v>
      </c>
      <c r="AA67" s="23" t="n">
        <f aca="false">IF(K67="定額",ROUND((I67-M67)/J67/12,0),ROUND(I67*L67/12,0))</f>
        <v>9</v>
      </c>
      <c r="AB67" s="24" t="n">
        <f aca="false">SUM(P67:AA67)</f>
        <v>108</v>
      </c>
      <c r="AC67" s="24" t="n">
        <f aca="false">O67+AB67</f>
        <v>384</v>
      </c>
      <c r="AD67" s="24" t="n">
        <f aca="false">I67-AC67</f>
        <v>3179</v>
      </c>
      <c r="AE67" s="17" t="s">
        <v>99</v>
      </c>
      <c r="AF67" s="17" t="s">
        <v>100</v>
      </c>
      <c r="AG67" s="19" t="s">
        <v>101</v>
      </c>
      <c r="AH67" s="16" t="s">
        <v>102</v>
      </c>
      <c r="AI67" s="16" t="s">
        <v>469</v>
      </c>
      <c r="AJ67" s="16" t="s">
        <v>84</v>
      </c>
      <c r="AK67" s="16" t="s">
        <v>85</v>
      </c>
      <c r="AL67" s="18" t="s">
        <v>87</v>
      </c>
      <c r="AM67" s="16" t="s">
        <v>90</v>
      </c>
      <c r="AN67" s="20"/>
      <c r="AO67" s="20" t="n">
        <v>45863</v>
      </c>
      <c r="AP67" s="20" t="n">
        <v>46001</v>
      </c>
      <c r="AQ67" s="18" t="s">
        <v>86</v>
      </c>
      <c r="AR67" s="21" t="n">
        <v>2671</v>
      </c>
      <c r="AS67" s="21" t="n">
        <v>616</v>
      </c>
      <c r="AT67" s="21" t="n">
        <v>2671</v>
      </c>
      <c r="AU67" s="16" t="s">
        <v>470</v>
      </c>
      <c r="AV67" s="16" t="s">
        <v>471</v>
      </c>
      <c r="AW67" s="19" t="s">
        <v>90</v>
      </c>
      <c r="AX67" s="18" t="s">
        <v>91</v>
      </c>
      <c r="AY67" s="18" t="s">
        <v>92</v>
      </c>
      <c r="AZ67" s="20"/>
      <c r="BA67" s="17" t="s">
        <v>293</v>
      </c>
      <c r="BB67" s="18" t="s">
        <v>87</v>
      </c>
      <c r="BC67" s="20"/>
      <c r="BD67" s="20"/>
      <c r="BE67" s="21"/>
      <c r="BF67" s="20"/>
      <c r="BG67" s="21"/>
      <c r="BH67" s="21"/>
      <c r="BI67" s="16" t="s">
        <v>90</v>
      </c>
    </row>
    <row r="68" customFormat="false" ht="15" hidden="false" customHeight="true" outlineLevel="0" collapsed="false">
      <c r="A68" s="7" t="s">
        <v>472</v>
      </c>
      <c r="B68" s="10" t="s">
        <v>473</v>
      </c>
      <c r="C68" s="8" t="s">
        <v>152</v>
      </c>
      <c r="D68" s="9" t="s">
        <v>153</v>
      </c>
      <c r="E68" s="10" t="s">
        <v>152</v>
      </c>
      <c r="F68" s="8" t="s">
        <v>98</v>
      </c>
      <c r="G68" s="11" t="n">
        <v>44074</v>
      </c>
      <c r="H68" s="11" t="n">
        <v>44134</v>
      </c>
      <c r="I68" s="12" t="n">
        <v>431280</v>
      </c>
      <c r="J68" s="9" t="n">
        <v>30</v>
      </c>
      <c r="K68" s="8" t="s">
        <v>78</v>
      </c>
      <c r="L68" s="13" t="n">
        <v>0.034</v>
      </c>
      <c r="M68" s="12" t="n">
        <v>21564</v>
      </c>
      <c r="N68" s="12" t="n">
        <v>370931</v>
      </c>
      <c r="O68" s="12" t="n">
        <v>60349</v>
      </c>
      <c r="P68" s="14" t="n">
        <f aca="false">IF(K68="定額",ROUND((I68-M68)/J68/12,0),ROUND(I68*L68/12,0))</f>
        <v>1138</v>
      </c>
      <c r="Q68" s="14" t="n">
        <f aca="false">IF(K68="定額",ROUND((I68-M68)/J68/12,0),ROUND(I68*L68/12,0))</f>
        <v>1138</v>
      </c>
      <c r="R68" s="14" t="n">
        <f aca="false">IF(K68="定額",ROUND((I68-M68)/J68/12,0),ROUND(I68*L68/12,0))</f>
        <v>1138</v>
      </c>
      <c r="S68" s="14" t="n">
        <f aca="false">IF(K68="定額",ROUND((I68-M68)/J68/12,0),ROUND(I68*L68/12,0))</f>
        <v>1138</v>
      </c>
      <c r="T68" s="14" t="n">
        <f aca="false">IF(K68="定額",ROUND((I68-M68)/J68/12,0),ROUND(I68*L68/12,0))</f>
        <v>1138</v>
      </c>
      <c r="U68" s="14" t="n">
        <f aca="false">IF(K68="定額",ROUND((I68-M68)/J68/12,0),ROUND(I68*L68/12,0))</f>
        <v>1138</v>
      </c>
      <c r="V68" s="14" t="n">
        <f aca="false">IF(K68="定額",ROUND((I68-M68)/J68/12,0),ROUND(I68*L68/12,0))</f>
        <v>1138</v>
      </c>
      <c r="W68" s="14" t="n">
        <f aca="false">IF(K68="定額",ROUND((I68-M68)/J68/12,0),ROUND(I68*L68/12,0))</f>
        <v>1138</v>
      </c>
      <c r="X68" s="14" t="n">
        <f aca="false">IF(K68="定額",ROUND((I68-M68)/J68/12,0),ROUND(I68*L68/12,0))</f>
        <v>1138</v>
      </c>
      <c r="Y68" s="14" t="n">
        <f aca="false">IF(K68="定額",ROUND((I68-M68)/J68/12,0),ROUND(I68*L68/12,0))</f>
        <v>1138</v>
      </c>
      <c r="Z68" s="14" t="n">
        <f aca="false">IF(K68="定額",ROUND((I68-M68)/J68/12,0),ROUND(I68*L68/12,0))</f>
        <v>1138</v>
      </c>
      <c r="AA68" s="14" t="n">
        <f aca="false">IF(K68="定額",ROUND((I68-M68)/J68/12,0),ROUND(I68*L68/12,0))</f>
        <v>1138</v>
      </c>
      <c r="AB68" s="15" t="n">
        <f aca="false">SUM(P68:AA68)</f>
        <v>13656</v>
      </c>
      <c r="AC68" s="15" t="n">
        <f aca="false">O68+AB68</f>
        <v>74005</v>
      </c>
      <c r="AD68" s="15" t="n">
        <f aca="false">I68-AC68</f>
        <v>357275</v>
      </c>
      <c r="AE68" s="10" t="s">
        <v>79</v>
      </c>
      <c r="AF68" s="10" t="s">
        <v>306</v>
      </c>
      <c r="AG68" s="9" t="s">
        <v>307</v>
      </c>
      <c r="AH68" s="10" t="s">
        <v>308</v>
      </c>
      <c r="AI68" s="7" t="s">
        <v>474</v>
      </c>
      <c r="AJ68" s="7" t="s">
        <v>104</v>
      </c>
      <c r="AK68" s="7" t="s">
        <v>105</v>
      </c>
      <c r="AL68" s="8" t="s">
        <v>86</v>
      </c>
      <c r="AM68" s="7" t="s">
        <v>104</v>
      </c>
      <c r="AN68" s="11" t="n">
        <v>45169</v>
      </c>
      <c r="AO68" s="11" t="n">
        <v>45793</v>
      </c>
      <c r="AP68" s="11" t="n">
        <v>46258</v>
      </c>
      <c r="AQ68" s="8" t="s">
        <v>87</v>
      </c>
      <c r="AR68" s="12"/>
      <c r="AS68" s="12"/>
      <c r="AT68" s="12"/>
      <c r="AU68" s="7" t="s">
        <v>475</v>
      </c>
      <c r="AV68" s="7" t="s">
        <v>476</v>
      </c>
      <c r="AW68" s="9" t="s">
        <v>142</v>
      </c>
      <c r="AX68" s="8" t="s">
        <v>108</v>
      </c>
      <c r="AY68" s="8" t="s">
        <v>92</v>
      </c>
      <c r="AZ68" s="11"/>
      <c r="BA68" s="10" t="s">
        <v>293</v>
      </c>
      <c r="BB68" s="8" t="s">
        <v>87</v>
      </c>
      <c r="BC68" s="11"/>
      <c r="BD68" s="11"/>
      <c r="BE68" s="12"/>
      <c r="BF68" s="11"/>
      <c r="BG68" s="12"/>
      <c r="BH68" s="12"/>
      <c r="BI68" s="7" t="s">
        <v>90</v>
      </c>
    </row>
    <row r="69" customFormat="false" ht="15" hidden="false" customHeight="true" outlineLevel="0" collapsed="false">
      <c r="A69" s="16" t="s">
        <v>477</v>
      </c>
      <c r="B69" s="16" t="s">
        <v>478</v>
      </c>
      <c r="C69" s="18" t="s">
        <v>75</v>
      </c>
      <c r="D69" s="19" t="s">
        <v>76</v>
      </c>
      <c r="E69" s="17" t="s">
        <v>75</v>
      </c>
      <c r="F69" s="18" t="s">
        <v>77</v>
      </c>
      <c r="G69" s="20" t="n">
        <v>43779</v>
      </c>
      <c r="H69" s="20" t="n">
        <v>43804</v>
      </c>
      <c r="I69" s="21" t="n">
        <v>5102</v>
      </c>
      <c r="J69" s="19" t="n">
        <v>5</v>
      </c>
      <c r="K69" s="18" t="s">
        <v>78</v>
      </c>
      <c r="L69" s="22" t="n">
        <v>0.2</v>
      </c>
      <c r="M69" s="21" t="n">
        <v>1</v>
      </c>
      <c r="N69" s="21" t="n">
        <v>512</v>
      </c>
      <c r="O69" s="21" t="n">
        <v>4590</v>
      </c>
      <c r="P69" s="23" t="n">
        <f aca="false">IF(K69="定額",ROUND((I69-M69)/J69/12,0),ROUND(I69*L69/12,0))</f>
        <v>85</v>
      </c>
      <c r="Q69" s="23" t="n">
        <f aca="false">IF(K69="定額",ROUND((I69-M69)/J69/12,0),ROUND(I69*L69/12,0))</f>
        <v>85</v>
      </c>
      <c r="R69" s="23" t="n">
        <f aca="false">IF(K69="定額",ROUND((I69-M69)/J69/12,0),ROUND(I69*L69/12,0))</f>
        <v>85</v>
      </c>
      <c r="S69" s="23" t="n">
        <f aca="false">IF(K69="定額",ROUND((I69-M69)/J69/12,0),ROUND(I69*L69/12,0))</f>
        <v>85</v>
      </c>
      <c r="T69" s="23" t="n">
        <f aca="false">IF(K69="定額",ROUND((I69-M69)/J69/12,0),ROUND(I69*L69/12,0))</f>
        <v>85</v>
      </c>
      <c r="U69" s="23" t="n">
        <f aca="false">IF(K69="定額",ROUND((I69-M69)/J69/12,0),ROUND(I69*L69/12,0))</f>
        <v>85</v>
      </c>
      <c r="V69" s="23" t="n">
        <f aca="false">IF(K69="定額",ROUND((I69-M69)/J69/12,0),ROUND(I69*L69/12,0))</f>
        <v>85</v>
      </c>
      <c r="W69" s="23" t="n">
        <f aca="false">IF(K69="定額",ROUND((I69-M69)/J69/12,0),ROUND(I69*L69/12,0))</f>
        <v>85</v>
      </c>
      <c r="X69" s="23" t="n">
        <f aca="false">IF(K69="定額",ROUND((I69-M69)/J69/12,0),ROUND(I69*L69/12,0))</f>
        <v>85</v>
      </c>
      <c r="Y69" s="23" t="n">
        <f aca="false">IF(K69="定額",ROUND((I69-M69)/J69/12,0),ROUND(I69*L69/12,0))</f>
        <v>85</v>
      </c>
      <c r="Z69" s="23" t="n">
        <f aca="false">IF(K69="定額",ROUND((I69-M69)/J69/12,0),ROUND(I69*L69/12,0))</f>
        <v>85</v>
      </c>
      <c r="AA69" s="23" t="n">
        <f aca="false">IF(K69="定額",ROUND((I69-M69)/J69/12,0),ROUND(I69*L69/12,0))</f>
        <v>85</v>
      </c>
      <c r="AB69" s="24" t="n">
        <f aca="false">SUM(P69:AA69)</f>
        <v>1020</v>
      </c>
      <c r="AC69" s="24" t="n">
        <f aca="false">O69+AB69</f>
        <v>5610</v>
      </c>
      <c r="AD69" s="24" t="n">
        <f aca="false">I69-AC69</f>
        <v>-508</v>
      </c>
      <c r="AE69" s="17" t="s">
        <v>167</v>
      </c>
      <c r="AF69" s="17" t="s">
        <v>168</v>
      </c>
      <c r="AG69" s="19" t="s">
        <v>169</v>
      </c>
      <c r="AH69" s="17" t="s">
        <v>170</v>
      </c>
      <c r="AI69" s="16" t="s">
        <v>479</v>
      </c>
      <c r="AJ69" s="16" t="s">
        <v>129</v>
      </c>
      <c r="AK69" s="16" t="s">
        <v>130</v>
      </c>
      <c r="AL69" s="18" t="s">
        <v>86</v>
      </c>
      <c r="AM69" s="16" t="s">
        <v>129</v>
      </c>
      <c r="AN69" s="20" t="n">
        <v>45969</v>
      </c>
      <c r="AO69" s="20" t="n">
        <v>45761</v>
      </c>
      <c r="AP69" s="20" t="n">
        <v>46190</v>
      </c>
      <c r="AQ69" s="18" t="s">
        <v>87</v>
      </c>
      <c r="AR69" s="21"/>
      <c r="AS69" s="21"/>
      <c r="AT69" s="21"/>
      <c r="AU69" s="16" t="s">
        <v>480</v>
      </c>
      <c r="AV69" s="16" t="s">
        <v>481</v>
      </c>
      <c r="AW69" s="19" t="s">
        <v>90</v>
      </c>
      <c r="AX69" s="18" t="s">
        <v>116</v>
      </c>
      <c r="AY69" s="18" t="s">
        <v>92</v>
      </c>
      <c r="AZ69" s="20" t="n">
        <v>45902</v>
      </c>
      <c r="BA69" s="17" t="s">
        <v>117</v>
      </c>
      <c r="BB69" s="18" t="s">
        <v>87</v>
      </c>
      <c r="BC69" s="20"/>
      <c r="BD69" s="20"/>
      <c r="BE69" s="21"/>
      <c r="BF69" s="20"/>
      <c r="BG69" s="21"/>
      <c r="BH69" s="21"/>
      <c r="BI69" s="17" t="s">
        <v>133</v>
      </c>
    </row>
    <row r="70" customFormat="false" ht="15" hidden="false" customHeight="true" outlineLevel="0" collapsed="false">
      <c r="A70" s="7" t="s">
        <v>482</v>
      </c>
      <c r="B70" s="10" t="s">
        <v>483</v>
      </c>
      <c r="C70" s="8" t="s">
        <v>221</v>
      </c>
      <c r="D70" s="9" t="s">
        <v>222</v>
      </c>
      <c r="E70" s="10" t="s">
        <v>221</v>
      </c>
      <c r="F70" s="8" t="s">
        <v>98</v>
      </c>
      <c r="G70" s="11" t="n">
        <v>43467</v>
      </c>
      <c r="H70" s="11" t="n">
        <v>43496</v>
      </c>
      <c r="I70" s="12" t="n">
        <v>2475</v>
      </c>
      <c r="J70" s="9" t="n">
        <v>10</v>
      </c>
      <c r="K70" s="8" t="s">
        <v>123</v>
      </c>
      <c r="L70" s="13" t="n">
        <v>0.2</v>
      </c>
      <c r="M70" s="12" t="n">
        <v>1</v>
      </c>
      <c r="N70" s="12" t="n">
        <v>1</v>
      </c>
      <c r="O70" s="12" t="n">
        <v>2474</v>
      </c>
      <c r="P70" s="14" t="n">
        <f aca="false">IF(K70="定額",ROUND((I70-M70)/J70/12,0),ROUND(I70*L70/12,0))</f>
        <v>41</v>
      </c>
      <c r="Q70" s="14" t="n">
        <f aca="false">IF(K70="定額",ROUND((I70-M70)/J70/12,0),ROUND(I70*L70/12,0))</f>
        <v>41</v>
      </c>
      <c r="R70" s="14" t="n">
        <f aca="false">IF(K70="定額",ROUND((I70-M70)/J70/12,0),ROUND(I70*L70/12,0))</f>
        <v>41</v>
      </c>
      <c r="S70" s="14" t="n">
        <f aca="false">IF(K70="定額",ROUND((I70-M70)/J70/12,0),ROUND(I70*L70/12,0))</f>
        <v>41</v>
      </c>
      <c r="T70" s="14" t="n">
        <f aca="false">IF(K70="定額",ROUND((I70-M70)/J70/12,0),ROUND(I70*L70/12,0))</f>
        <v>41</v>
      </c>
      <c r="U70" s="14" t="n">
        <f aca="false">IF(K70="定額",ROUND((I70-M70)/J70/12,0),ROUND(I70*L70/12,0))</f>
        <v>41</v>
      </c>
      <c r="V70" s="14" t="n">
        <f aca="false">IF(K70="定額",ROUND((I70-M70)/J70/12,0),ROUND(I70*L70/12,0))</f>
        <v>41</v>
      </c>
      <c r="W70" s="14" t="n">
        <f aca="false">IF(K70="定額",ROUND((I70-M70)/J70/12,0),ROUND(I70*L70/12,0))</f>
        <v>41</v>
      </c>
      <c r="X70" s="14" t="n">
        <f aca="false">IF(K70="定額",ROUND((I70-M70)/J70/12,0),ROUND(I70*L70/12,0))</f>
        <v>41</v>
      </c>
      <c r="Y70" s="14" t="n">
        <f aca="false">IF(K70="定額",ROUND((I70-M70)/J70/12,0),ROUND(I70*L70/12,0))</f>
        <v>41</v>
      </c>
      <c r="Z70" s="14" t="n">
        <f aca="false">IF(K70="定額",ROUND((I70-M70)/J70/12,0),ROUND(I70*L70/12,0))</f>
        <v>41</v>
      </c>
      <c r="AA70" s="14" t="n">
        <f aca="false">IF(K70="定額",ROUND((I70-M70)/J70/12,0),ROUND(I70*L70/12,0))</f>
        <v>41</v>
      </c>
      <c r="AB70" s="15" t="n">
        <f aca="false">SUM(P70:AA70)</f>
        <v>492</v>
      </c>
      <c r="AC70" s="15" t="n">
        <f aca="false">O70+AB70</f>
        <v>2966</v>
      </c>
      <c r="AD70" s="15" t="n">
        <f aca="false">I70-AC70</f>
        <v>-491</v>
      </c>
      <c r="AE70" s="10" t="s">
        <v>79</v>
      </c>
      <c r="AF70" s="10" t="s">
        <v>306</v>
      </c>
      <c r="AG70" s="9" t="s">
        <v>307</v>
      </c>
      <c r="AH70" s="10" t="s">
        <v>308</v>
      </c>
      <c r="AI70" s="7" t="s">
        <v>484</v>
      </c>
      <c r="AJ70" s="7" t="s">
        <v>104</v>
      </c>
      <c r="AK70" s="7" t="s">
        <v>105</v>
      </c>
      <c r="AL70" s="8" t="s">
        <v>87</v>
      </c>
      <c r="AM70" s="7" t="s">
        <v>90</v>
      </c>
      <c r="AN70" s="11"/>
      <c r="AO70" s="11" t="n">
        <v>45856</v>
      </c>
      <c r="AP70" s="11" t="n">
        <v>46168</v>
      </c>
      <c r="AQ70" s="8" t="s">
        <v>87</v>
      </c>
      <c r="AR70" s="12"/>
      <c r="AS70" s="12"/>
      <c r="AT70" s="12"/>
      <c r="AU70" s="7" t="s">
        <v>485</v>
      </c>
      <c r="AV70" s="7" t="s">
        <v>486</v>
      </c>
      <c r="AW70" s="9" t="s">
        <v>90</v>
      </c>
      <c r="AX70" s="8" t="s">
        <v>116</v>
      </c>
      <c r="AY70" s="8" t="s">
        <v>92</v>
      </c>
      <c r="AZ70" s="11"/>
      <c r="BA70" s="7" t="s">
        <v>143</v>
      </c>
      <c r="BB70" s="8" t="s">
        <v>87</v>
      </c>
      <c r="BC70" s="11"/>
      <c r="BD70" s="11"/>
      <c r="BE70" s="12"/>
      <c r="BF70" s="11"/>
      <c r="BG70" s="12"/>
      <c r="BH70" s="12"/>
      <c r="BI70" s="10" t="s">
        <v>118</v>
      </c>
    </row>
    <row r="71" customFormat="false" ht="15" hidden="false" customHeight="true" outlineLevel="0" collapsed="false">
      <c r="A71" s="16" t="s">
        <v>487</v>
      </c>
      <c r="B71" s="17" t="s">
        <v>488</v>
      </c>
      <c r="C71" s="18" t="s">
        <v>152</v>
      </c>
      <c r="D71" s="19" t="s">
        <v>153</v>
      </c>
      <c r="E71" s="17" t="s">
        <v>152</v>
      </c>
      <c r="F71" s="19" t="s">
        <v>90</v>
      </c>
      <c r="G71" s="20" t="n">
        <v>43370</v>
      </c>
      <c r="H71" s="20" t="n">
        <v>43427</v>
      </c>
      <c r="I71" s="21" t="n">
        <v>7746</v>
      </c>
      <c r="J71" s="19" t="n">
        <v>30</v>
      </c>
      <c r="K71" s="18" t="s">
        <v>78</v>
      </c>
      <c r="L71" s="22" t="n">
        <v>0.034</v>
      </c>
      <c r="M71" s="21" t="n">
        <v>387</v>
      </c>
      <c r="N71" s="21" t="n">
        <v>6188</v>
      </c>
      <c r="O71" s="21" t="n">
        <v>1558</v>
      </c>
      <c r="P71" s="23" t="n">
        <f aca="false">IF(K71="定額",ROUND((I71-M71)/J71/12,0),ROUND(I71*L71/12,0))</f>
        <v>20</v>
      </c>
      <c r="Q71" s="23" t="n">
        <f aca="false">IF(K71="定額",ROUND((I71-M71)/J71/12,0),ROUND(I71*L71/12,0))</f>
        <v>20</v>
      </c>
      <c r="R71" s="23" t="n">
        <f aca="false">IF(K71="定額",ROUND((I71-M71)/J71/12,0),ROUND(I71*L71/12,0))</f>
        <v>20</v>
      </c>
      <c r="S71" s="23" t="n">
        <f aca="false">IF(K71="定額",ROUND((I71-M71)/J71/12,0),ROUND(I71*L71/12,0))</f>
        <v>20</v>
      </c>
      <c r="T71" s="23" t="n">
        <f aca="false">IF(K71="定額",ROUND((I71-M71)/J71/12,0),ROUND(I71*L71/12,0))</f>
        <v>20</v>
      </c>
      <c r="U71" s="23" t="n">
        <f aca="false">IF(K71="定額",ROUND((I71-M71)/J71/12,0),ROUND(I71*L71/12,0))</f>
        <v>20</v>
      </c>
      <c r="V71" s="23" t="n">
        <f aca="false">IF(K71="定額",ROUND((I71-M71)/J71/12,0),ROUND(I71*L71/12,0))</f>
        <v>20</v>
      </c>
      <c r="W71" s="23" t="n">
        <f aca="false">IF(K71="定額",ROUND((I71-M71)/J71/12,0),ROUND(I71*L71/12,0))</f>
        <v>20</v>
      </c>
      <c r="X71" s="23" t="n">
        <f aca="false">IF(K71="定額",ROUND((I71-M71)/J71/12,0),ROUND(I71*L71/12,0))</f>
        <v>20</v>
      </c>
      <c r="Y71" s="23" t="n">
        <f aca="false">IF(K71="定額",ROUND((I71-M71)/J71/12,0),ROUND(I71*L71/12,0))</f>
        <v>20</v>
      </c>
      <c r="Z71" s="23" t="n">
        <f aca="false">IF(K71="定額",ROUND((I71-M71)/J71/12,0),ROUND(I71*L71/12,0))</f>
        <v>20</v>
      </c>
      <c r="AA71" s="23" t="n">
        <f aca="false">IF(K71="定額",ROUND((I71-M71)/J71/12,0),ROUND(I71*L71/12,0))</f>
        <v>20</v>
      </c>
      <c r="AB71" s="24" t="n">
        <f aca="false">SUM(P71:AA71)</f>
        <v>240</v>
      </c>
      <c r="AC71" s="24" t="n">
        <f aca="false">O71+AB71</f>
        <v>1798</v>
      </c>
      <c r="AD71" s="24" t="n">
        <f aca="false">I71-AC71</f>
        <v>5948</v>
      </c>
      <c r="AE71" s="17" t="s">
        <v>124</v>
      </c>
      <c r="AF71" s="17" t="s">
        <v>125</v>
      </c>
      <c r="AG71" s="19" t="s">
        <v>126</v>
      </c>
      <c r="AH71" s="17" t="s">
        <v>127</v>
      </c>
      <c r="AI71" s="16" t="s">
        <v>489</v>
      </c>
      <c r="AJ71" s="17" t="s">
        <v>188</v>
      </c>
      <c r="AK71" s="16" t="s">
        <v>189</v>
      </c>
      <c r="AL71" s="18" t="s">
        <v>87</v>
      </c>
      <c r="AM71" s="16" t="s">
        <v>90</v>
      </c>
      <c r="AN71" s="20"/>
      <c r="AO71" s="20" t="n">
        <v>45852</v>
      </c>
      <c r="AP71" s="20" t="n">
        <v>46077</v>
      </c>
      <c r="AQ71" s="18" t="s">
        <v>87</v>
      </c>
      <c r="AR71" s="21"/>
      <c r="AS71" s="21"/>
      <c r="AT71" s="21"/>
      <c r="AU71" s="16" t="s">
        <v>490</v>
      </c>
      <c r="AV71" s="16" t="s">
        <v>491</v>
      </c>
      <c r="AW71" s="19" t="s">
        <v>90</v>
      </c>
      <c r="AX71" s="18" t="s">
        <v>116</v>
      </c>
      <c r="AY71" s="18" t="s">
        <v>92</v>
      </c>
      <c r="AZ71" s="20" t="n">
        <v>45914</v>
      </c>
      <c r="BA71" s="17" t="s">
        <v>293</v>
      </c>
      <c r="BB71" s="18" t="s">
        <v>87</v>
      </c>
      <c r="BC71" s="20"/>
      <c r="BD71" s="20"/>
      <c r="BE71" s="21"/>
      <c r="BF71" s="20"/>
      <c r="BG71" s="21"/>
      <c r="BH71" s="21"/>
      <c r="BI71" s="17" t="s">
        <v>118</v>
      </c>
    </row>
    <row r="72" customFormat="false" ht="15" hidden="false" customHeight="true" outlineLevel="0" collapsed="false">
      <c r="A72" s="7" t="s">
        <v>492</v>
      </c>
      <c r="B72" s="10" t="s">
        <v>493</v>
      </c>
      <c r="C72" s="8" t="s">
        <v>221</v>
      </c>
      <c r="D72" s="9" t="s">
        <v>222</v>
      </c>
      <c r="E72" s="10" t="s">
        <v>221</v>
      </c>
      <c r="F72" s="8" t="s">
        <v>136</v>
      </c>
      <c r="G72" s="11" t="n">
        <v>45228</v>
      </c>
      <c r="H72" s="11" t="n">
        <v>45258</v>
      </c>
      <c r="I72" s="12" t="n">
        <v>4753</v>
      </c>
      <c r="J72" s="9" t="n">
        <v>10</v>
      </c>
      <c r="K72" s="8" t="s">
        <v>123</v>
      </c>
      <c r="L72" s="13" t="n">
        <v>0.2</v>
      </c>
      <c r="M72" s="12" t="n">
        <v>1</v>
      </c>
      <c r="N72" s="12" t="n">
        <v>3478</v>
      </c>
      <c r="O72" s="12" t="n">
        <v>1275</v>
      </c>
      <c r="P72" s="14" t="n">
        <f aca="false">IF(K72="定額",ROUND((I72-M72)/J72/12,0),ROUND(I72*L72/12,0))</f>
        <v>79</v>
      </c>
      <c r="Q72" s="14" t="n">
        <f aca="false">IF(K72="定額",ROUND((I72-M72)/J72/12,0),ROUND(I72*L72/12,0))</f>
        <v>79</v>
      </c>
      <c r="R72" s="14" t="n">
        <f aca="false">IF(K72="定額",ROUND((I72-M72)/J72/12,0),ROUND(I72*L72/12,0))</f>
        <v>79</v>
      </c>
      <c r="S72" s="14" t="n">
        <f aca="false">IF(K72="定額",ROUND((I72-M72)/J72/12,0),ROUND(I72*L72/12,0))</f>
        <v>79</v>
      </c>
      <c r="T72" s="14" t="n">
        <f aca="false">IF(K72="定額",ROUND((I72-M72)/J72/12,0),ROUND(I72*L72/12,0))</f>
        <v>79</v>
      </c>
      <c r="U72" s="14" t="n">
        <f aca="false">IF(K72="定額",ROUND((I72-M72)/J72/12,0),ROUND(I72*L72/12,0))</f>
        <v>79</v>
      </c>
      <c r="V72" s="14" t="n">
        <f aca="false">IF(K72="定額",ROUND((I72-M72)/J72/12,0),ROUND(I72*L72/12,0))</f>
        <v>79</v>
      </c>
      <c r="W72" s="14" t="n">
        <f aca="false">IF(K72="定額",ROUND((I72-M72)/J72/12,0),ROUND(I72*L72/12,0))</f>
        <v>79</v>
      </c>
      <c r="X72" s="14" t="n">
        <f aca="false">IF(K72="定額",ROUND((I72-M72)/J72/12,0),ROUND(I72*L72/12,0))</f>
        <v>79</v>
      </c>
      <c r="Y72" s="14" t="n">
        <f aca="false">IF(K72="定額",ROUND((I72-M72)/J72/12,0),ROUND(I72*L72/12,0))</f>
        <v>79</v>
      </c>
      <c r="Z72" s="14" t="n">
        <f aca="false">IF(K72="定額",ROUND((I72-M72)/J72/12,0),ROUND(I72*L72/12,0))</f>
        <v>79</v>
      </c>
      <c r="AA72" s="14" t="n">
        <f aca="false">IF(K72="定額",ROUND((I72-M72)/J72/12,0),ROUND(I72*L72/12,0))</f>
        <v>79</v>
      </c>
      <c r="AB72" s="15" t="n">
        <f aca="false">SUM(P72:AA72)</f>
        <v>948</v>
      </c>
      <c r="AC72" s="15" t="n">
        <f aca="false">O72+AB72</f>
        <v>2223</v>
      </c>
      <c r="AD72" s="15" t="n">
        <f aca="false">I72-AC72</f>
        <v>2530</v>
      </c>
      <c r="AE72" s="10" t="s">
        <v>167</v>
      </c>
      <c r="AF72" s="10" t="s">
        <v>277</v>
      </c>
      <c r="AG72" s="9" t="s">
        <v>278</v>
      </c>
      <c r="AH72" s="10" t="s">
        <v>279</v>
      </c>
      <c r="AI72" s="7" t="s">
        <v>494</v>
      </c>
      <c r="AJ72" s="10" t="s">
        <v>159</v>
      </c>
      <c r="AK72" s="7" t="s">
        <v>160</v>
      </c>
      <c r="AL72" s="8" t="s">
        <v>86</v>
      </c>
      <c r="AM72" s="10" t="s">
        <v>159</v>
      </c>
      <c r="AN72" s="11" t="n">
        <v>45958</v>
      </c>
      <c r="AO72" s="11" t="n">
        <v>45817</v>
      </c>
      <c r="AP72" s="11" t="n">
        <v>46082</v>
      </c>
      <c r="AQ72" s="8" t="s">
        <v>87</v>
      </c>
      <c r="AR72" s="12"/>
      <c r="AS72" s="12"/>
      <c r="AT72" s="12"/>
      <c r="AU72" s="7" t="s">
        <v>495</v>
      </c>
      <c r="AV72" s="7" t="s">
        <v>496</v>
      </c>
      <c r="AW72" s="9" t="s">
        <v>90</v>
      </c>
      <c r="AX72" s="8" t="s">
        <v>91</v>
      </c>
      <c r="AY72" s="8" t="s">
        <v>92</v>
      </c>
      <c r="AZ72" s="11" t="n">
        <v>45912</v>
      </c>
      <c r="BA72" s="10" t="s">
        <v>293</v>
      </c>
      <c r="BB72" s="8" t="s">
        <v>86</v>
      </c>
      <c r="BC72" s="11" t="n">
        <v>45828</v>
      </c>
      <c r="BD72" s="11"/>
      <c r="BE72" s="12"/>
      <c r="BF72" s="11"/>
      <c r="BG72" s="12"/>
      <c r="BH72" s="12"/>
      <c r="BI72" s="10" t="s">
        <v>118</v>
      </c>
    </row>
    <row r="73" customFormat="false" ht="15" hidden="false" customHeight="true" outlineLevel="0" collapsed="false">
      <c r="A73" s="16" t="s">
        <v>497</v>
      </c>
      <c r="B73" s="17" t="s">
        <v>498</v>
      </c>
      <c r="C73" s="18" t="s">
        <v>221</v>
      </c>
      <c r="D73" s="19" t="s">
        <v>222</v>
      </c>
      <c r="E73" s="17" t="s">
        <v>221</v>
      </c>
      <c r="F73" s="18" t="s">
        <v>136</v>
      </c>
      <c r="G73" s="20" t="n">
        <v>44854</v>
      </c>
      <c r="H73" s="20" t="n">
        <v>44884</v>
      </c>
      <c r="I73" s="21" t="n">
        <v>4703</v>
      </c>
      <c r="J73" s="19" t="n">
        <v>10</v>
      </c>
      <c r="K73" s="18" t="s">
        <v>123</v>
      </c>
      <c r="L73" s="22" t="n">
        <v>0.2</v>
      </c>
      <c r="M73" s="21" t="n">
        <v>1</v>
      </c>
      <c r="N73" s="21" t="n">
        <v>2479</v>
      </c>
      <c r="O73" s="21" t="n">
        <v>2224</v>
      </c>
      <c r="P73" s="23" t="n">
        <f aca="false">IF(K73="定額",ROUND((I73-M73)/J73/12,0),ROUND(I73*L73/12,0))</f>
        <v>78</v>
      </c>
      <c r="Q73" s="23" t="n">
        <f aca="false">IF(K73="定額",ROUND((I73-M73)/J73/12,0),ROUND(I73*L73/12,0))</f>
        <v>78</v>
      </c>
      <c r="R73" s="23" t="n">
        <f aca="false">IF(K73="定額",ROUND((I73-M73)/J73/12,0),ROUND(I73*L73/12,0))</f>
        <v>78</v>
      </c>
      <c r="S73" s="23" t="n">
        <f aca="false">IF(K73="定額",ROUND((I73-M73)/J73/12,0),ROUND(I73*L73/12,0))</f>
        <v>78</v>
      </c>
      <c r="T73" s="23" t="n">
        <f aca="false">IF(K73="定額",ROUND((I73-M73)/J73/12,0),ROUND(I73*L73/12,0))</f>
        <v>78</v>
      </c>
      <c r="U73" s="23" t="n">
        <f aca="false">IF(K73="定額",ROUND((I73-M73)/J73/12,0),ROUND(I73*L73/12,0))</f>
        <v>78</v>
      </c>
      <c r="V73" s="23" t="n">
        <f aca="false">IF(K73="定額",ROUND((I73-M73)/J73/12,0),ROUND(I73*L73/12,0))</f>
        <v>78</v>
      </c>
      <c r="W73" s="23" t="n">
        <f aca="false">IF(K73="定額",ROUND((I73-M73)/J73/12,0),ROUND(I73*L73/12,0))</f>
        <v>78</v>
      </c>
      <c r="X73" s="23" t="n">
        <f aca="false">IF(K73="定額",ROUND((I73-M73)/J73/12,0),ROUND(I73*L73/12,0))</f>
        <v>78</v>
      </c>
      <c r="Y73" s="23" t="n">
        <f aca="false">IF(K73="定額",ROUND((I73-M73)/J73/12,0),ROUND(I73*L73/12,0))</f>
        <v>78</v>
      </c>
      <c r="Z73" s="23" t="n">
        <f aca="false">IF(K73="定額",ROUND((I73-M73)/J73/12,0),ROUND(I73*L73/12,0))</f>
        <v>78</v>
      </c>
      <c r="AA73" s="23" t="n">
        <f aca="false">IF(K73="定額",ROUND((I73-M73)/J73/12,0),ROUND(I73*L73/12,0))</f>
        <v>78</v>
      </c>
      <c r="AB73" s="24" t="n">
        <f aca="false">SUM(P73:AA73)</f>
        <v>936</v>
      </c>
      <c r="AC73" s="24" t="n">
        <f aca="false">O73+AB73</f>
        <v>3160</v>
      </c>
      <c r="AD73" s="24" t="n">
        <f aca="false">I73-AC73</f>
        <v>1543</v>
      </c>
      <c r="AE73" s="17" t="s">
        <v>79</v>
      </c>
      <c r="AF73" s="17" t="s">
        <v>306</v>
      </c>
      <c r="AG73" s="19" t="s">
        <v>307</v>
      </c>
      <c r="AH73" s="17" t="s">
        <v>308</v>
      </c>
      <c r="AI73" s="16" t="s">
        <v>499</v>
      </c>
      <c r="AJ73" s="16" t="s">
        <v>84</v>
      </c>
      <c r="AK73" s="16" t="s">
        <v>85</v>
      </c>
      <c r="AL73" s="18" t="s">
        <v>87</v>
      </c>
      <c r="AM73" s="16" t="s">
        <v>90</v>
      </c>
      <c r="AN73" s="20"/>
      <c r="AO73" s="20" t="n">
        <v>45807</v>
      </c>
      <c r="AP73" s="20" t="n">
        <v>46116</v>
      </c>
      <c r="AQ73" s="18" t="s">
        <v>87</v>
      </c>
      <c r="AR73" s="21"/>
      <c r="AS73" s="21"/>
      <c r="AT73" s="21"/>
      <c r="AU73" s="16" t="s">
        <v>500</v>
      </c>
      <c r="AV73" s="16" t="s">
        <v>501</v>
      </c>
      <c r="AW73" s="19" t="s">
        <v>90</v>
      </c>
      <c r="AX73" s="18" t="s">
        <v>108</v>
      </c>
      <c r="AY73" s="18" t="s">
        <v>92</v>
      </c>
      <c r="AZ73" s="20" t="n">
        <v>45912</v>
      </c>
      <c r="BA73" s="17" t="s">
        <v>93</v>
      </c>
      <c r="BB73" s="18" t="s">
        <v>87</v>
      </c>
      <c r="BC73" s="20"/>
      <c r="BD73" s="20"/>
      <c r="BE73" s="21"/>
      <c r="BF73" s="20"/>
      <c r="BG73" s="21"/>
      <c r="BH73" s="21"/>
      <c r="BI73" s="16" t="s">
        <v>90</v>
      </c>
    </row>
    <row r="74" customFormat="false" ht="15" hidden="false" customHeight="true" outlineLevel="0" collapsed="false">
      <c r="A74" s="7" t="s">
        <v>502</v>
      </c>
      <c r="B74" s="7" t="s">
        <v>503</v>
      </c>
      <c r="C74" s="8" t="s">
        <v>199</v>
      </c>
      <c r="D74" s="9" t="s">
        <v>200</v>
      </c>
      <c r="E74" s="10" t="s">
        <v>199</v>
      </c>
      <c r="F74" s="8" t="s">
        <v>136</v>
      </c>
      <c r="G74" s="11" t="n">
        <v>44694</v>
      </c>
      <c r="H74" s="11" t="n">
        <v>44726</v>
      </c>
      <c r="I74" s="12" t="n">
        <v>3075</v>
      </c>
      <c r="J74" s="9" t="n">
        <v>5</v>
      </c>
      <c r="K74" s="8" t="s">
        <v>78</v>
      </c>
      <c r="L74" s="13" t="n">
        <v>0.2</v>
      </c>
      <c r="M74" s="12" t="n">
        <v>1</v>
      </c>
      <c r="N74" s="12" t="n">
        <v>1355</v>
      </c>
      <c r="O74" s="12" t="n">
        <v>1720</v>
      </c>
      <c r="P74" s="14" t="n">
        <f aca="false">IF(K74="定額",ROUND((I74-M74)/J74/12,0),ROUND(I74*L74/12,0))</f>
        <v>51</v>
      </c>
      <c r="Q74" s="14" t="n">
        <f aca="false">IF(K74="定額",ROUND((I74-M74)/J74/12,0),ROUND(I74*L74/12,0))</f>
        <v>51</v>
      </c>
      <c r="R74" s="14" t="n">
        <f aca="false">IF(K74="定額",ROUND((I74-M74)/J74/12,0),ROUND(I74*L74/12,0))</f>
        <v>51</v>
      </c>
      <c r="S74" s="14" t="n">
        <f aca="false">IF(K74="定額",ROUND((I74-M74)/J74/12,0),ROUND(I74*L74/12,0))</f>
        <v>51</v>
      </c>
      <c r="T74" s="14" t="n">
        <f aca="false">IF(K74="定額",ROUND((I74-M74)/J74/12,0),ROUND(I74*L74/12,0))</f>
        <v>51</v>
      </c>
      <c r="U74" s="14" t="n">
        <f aca="false">IF(K74="定額",ROUND((I74-M74)/J74/12,0),ROUND(I74*L74/12,0))</f>
        <v>51</v>
      </c>
      <c r="V74" s="14" t="n">
        <f aca="false">IF(K74="定額",ROUND((I74-M74)/J74/12,0),ROUND(I74*L74/12,0))</f>
        <v>51</v>
      </c>
      <c r="W74" s="14" t="n">
        <f aca="false">IF(K74="定額",ROUND((I74-M74)/J74/12,0),ROUND(I74*L74/12,0))</f>
        <v>51</v>
      </c>
      <c r="X74" s="14" t="n">
        <f aca="false">IF(K74="定額",ROUND((I74-M74)/J74/12,0),ROUND(I74*L74/12,0))</f>
        <v>51</v>
      </c>
      <c r="Y74" s="14" t="n">
        <f aca="false">IF(K74="定額",ROUND((I74-M74)/J74/12,0),ROUND(I74*L74/12,0))</f>
        <v>51</v>
      </c>
      <c r="Z74" s="14" t="n">
        <f aca="false">IF(K74="定額",ROUND((I74-M74)/J74/12,0),ROUND(I74*L74/12,0))</f>
        <v>51</v>
      </c>
      <c r="AA74" s="14" t="n">
        <f aca="false">IF(K74="定額",ROUND((I74-M74)/J74/12,0),ROUND(I74*L74/12,0))</f>
        <v>51</v>
      </c>
      <c r="AB74" s="15" t="n">
        <f aca="false">SUM(P74:AA74)</f>
        <v>612</v>
      </c>
      <c r="AC74" s="15" t="n">
        <f aca="false">O74+AB74</f>
        <v>2332</v>
      </c>
      <c r="AD74" s="15" t="n">
        <f aca="false">I74-AC74</f>
        <v>743</v>
      </c>
      <c r="AE74" s="10" t="s">
        <v>167</v>
      </c>
      <c r="AF74" s="10" t="s">
        <v>277</v>
      </c>
      <c r="AG74" s="9" t="s">
        <v>278</v>
      </c>
      <c r="AH74" s="10" t="s">
        <v>279</v>
      </c>
      <c r="AI74" s="7" t="s">
        <v>504</v>
      </c>
      <c r="AJ74" s="10" t="s">
        <v>138</v>
      </c>
      <c r="AK74" s="7" t="s">
        <v>139</v>
      </c>
      <c r="AL74" s="8" t="s">
        <v>86</v>
      </c>
      <c r="AM74" s="10" t="s">
        <v>138</v>
      </c>
      <c r="AN74" s="11" t="n">
        <v>46884</v>
      </c>
      <c r="AO74" s="11" t="n">
        <v>45870</v>
      </c>
      <c r="AP74" s="11" t="n">
        <v>46065</v>
      </c>
      <c r="AQ74" s="8" t="s">
        <v>87</v>
      </c>
      <c r="AR74" s="12"/>
      <c r="AS74" s="12"/>
      <c r="AT74" s="12"/>
      <c r="AU74" s="7" t="s">
        <v>505</v>
      </c>
      <c r="AV74" s="7" t="s">
        <v>506</v>
      </c>
      <c r="AW74" s="9" t="s">
        <v>90</v>
      </c>
      <c r="AX74" s="8" t="s">
        <v>116</v>
      </c>
      <c r="AY74" s="8" t="s">
        <v>92</v>
      </c>
      <c r="AZ74" s="11" t="n">
        <v>45907</v>
      </c>
      <c r="BA74" s="7" t="s">
        <v>143</v>
      </c>
      <c r="BB74" s="8" t="s">
        <v>86</v>
      </c>
      <c r="BC74" s="11" t="n">
        <v>45762</v>
      </c>
      <c r="BD74" s="11"/>
      <c r="BE74" s="12"/>
      <c r="BF74" s="11"/>
      <c r="BG74" s="12"/>
      <c r="BH74" s="12"/>
      <c r="BI74" s="10" t="s">
        <v>110</v>
      </c>
    </row>
    <row r="75" customFormat="false" ht="15" hidden="false" customHeight="true" outlineLevel="0" collapsed="false">
      <c r="A75" s="16" t="s">
        <v>507</v>
      </c>
      <c r="B75" s="17" t="s">
        <v>508</v>
      </c>
      <c r="C75" s="18" t="s">
        <v>75</v>
      </c>
      <c r="D75" s="19" t="s">
        <v>76</v>
      </c>
      <c r="E75" s="17" t="s">
        <v>75</v>
      </c>
      <c r="F75" s="18" t="s">
        <v>136</v>
      </c>
      <c r="G75" s="20" t="n">
        <v>44500</v>
      </c>
      <c r="H75" s="20" t="n">
        <v>44549</v>
      </c>
      <c r="I75" s="21" t="n">
        <v>338356</v>
      </c>
      <c r="J75" s="19" t="n">
        <v>5</v>
      </c>
      <c r="K75" s="18" t="s">
        <v>78</v>
      </c>
      <c r="L75" s="22" t="n">
        <v>0.2</v>
      </c>
      <c r="M75" s="21" t="n">
        <v>1</v>
      </c>
      <c r="N75" s="21" t="n">
        <v>116214</v>
      </c>
      <c r="O75" s="21" t="n">
        <v>222142</v>
      </c>
      <c r="P75" s="23" t="n">
        <f aca="false">IF(K75="定額",ROUND((I75-M75)/J75/12,0),ROUND(I75*L75/12,0))</f>
        <v>5639</v>
      </c>
      <c r="Q75" s="23" t="n">
        <f aca="false">IF(K75="定額",ROUND((I75-M75)/J75/12,0),ROUND(I75*L75/12,0))</f>
        <v>5639</v>
      </c>
      <c r="R75" s="23" t="n">
        <f aca="false">IF(K75="定額",ROUND((I75-M75)/J75/12,0),ROUND(I75*L75/12,0))</f>
        <v>5639</v>
      </c>
      <c r="S75" s="23" t="n">
        <f aca="false">IF(K75="定額",ROUND((I75-M75)/J75/12,0),ROUND(I75*L75/12,0))</f>
        <v>5639</v>
      </c>
      <c r="T75" s="23" t="n">
        <f aca="false">IF(K75="定額",ROUND((I75-M75)/J75/12,0),ROUND(I75*L75/12,0))</f>
        <v>5639</v>
      </c>
      <c r="U75" s="23" t="n">
        <f aca="false">IF(K75="定額",ROUND((I75-M75)/J75/12,0),ROUND(I75*L75/12,0))</f>
        <v>5639</v>
      </c>
      <c r="V75" s="23" t="n">
        <f aca="false">IF(K75="定額",ROUND((I75-M75)/J75/12,0),ROUND(I75*L75/12,0))</f>
        <v>5639</v>
      </c>
      <c r="W75" s="23" t="n">
        <f aca="false">IF(K75="定額",ROUND((I75-M75)/J75/12,0),ROUND(I75*L75/12,0))</f>
        <v>5639</v>
      </c>
      <c r="X75" s="23" t="n">
        <f aca="false">IF(K75="定額",ROUND((I75-M75)/J75/12,0),ROUND(I75*L75/12,0))</f>
        <v>5639</v>
      </c>
      <c r="Y75" s="23" t="n">
        <f aca="false">IF(K75="定額",ROUND((I75-M75)/J75/12,0),ROUND(I75*L75/12,0))</f>
        <v>5639</v>
      </c>
      <c r="Z75" s="23" t="n">
        <f aca="false">IF(K75="定額",ROUND((I75-M75)/J75/12,0),ROUND(I75*L75/12,0))</f>
        <v>5639</v>
      </c>
      <c r="AA75" s="23" t="n">
        <f aca="false">IF(K75="定額",ROUND((I75-M75)/J75/12,0),ROUND(I75*L75/12,0))</f>
        <v>5639</v>
      </c>
      <c r="AB75" s="24" t="n">
        <f aca="false">SUM(P75:AA75)</f>
        <v>67668</v>
      </c>
      <c r="AC75" s="24" t="n">
        <f aca="false">O75+AB75</f>
        <v>289810</v>
      </c>
      <c r="AD75" s="24" t="n">
        <f aca="false">I75-AC75</f>
        <v>48546</v>
      </c>
      <c r="AE75" s="17" t="s">
        <v>183</v>
      </c>
      <c r="AF75" s="17" t="s">
        <v>184</v>
      </c>
      <c r="AG75" s="19" t="s">
        <v>185</v>
      </c>
      <c r="AH75" s="17" t="s">
        <v>186</v>
      </c>
      <c r="AI75" s="16" t="s">
        <v>509</v>
      </c>
      <c r="AJ75" s="16" t="s">
        <v>84</v>
      </c>
      <c r="AK75" s="16" t="s">
        <v>85</v>
      </c>
      <c r="AL75" s="18" t="s">
        <v>87</v>
      </c>
      <c r="AM75" s="16" t="s">
        <v>90</v>
      </c>
      <c r="AN75" s="20"/>
      <c r="AO75" s="20" t="n">
        <v>45869</v>
      </c>
      <c r="AP75" s="20" t="n">
        <v>46033</v>
      </c>
      <c r="AQ75" s="18" t="s">
        <v>87</v>
      </c>
      <c r="AR75" s="21"/>
      <c r="AS75" s="21"/>
      <c r="AT75" s="21"/>
      <c r="AU75" s="16" t="s">
        <v>510</v>
      </c>
      <c r="AV75" s="16" t="s">
        <v>511</v>
      </c>
      <c r="AW75" s="19" t="s">
        <v>142</v>
      </c>
      <c r="AX75" s="18" t="s">
        <v>116</v>
      </c>
      <c r="AY75" s="18" t="s">
        <v>92</v>
      </c>
      <c r="AZ75" s="20" t="n">
        <v>45942</v>
      </c>
      <c r="BA75" s="17" t="s">
        <v>293</v>
      </c>
      <c r="BB75" s="18" t="s">
        <v>87</v>
      </c>
      <c r="BC75" s="20"/>
      <c r="BD75" s="20"/>
      <c r="BE75" s="21"/>
      <c r="BF75" s="20"/>
      <c r="BG75" s="21"/>
      <c r="BH75" s="21"/>
      <c r="BI75" s="17" t="s">
        <v>149</v>
      </c>
    </row>
    <row r="76" customFormat="false" ht="15" hidden="false" customHeight="true" outlineLevel="0" collapsed="false">
      <c r="A76" s="7" t="s">
        <v>512</v>
      </c>
      <c r="B76" s="10" t="s">
        <v>513</v>
      </c>
      <c r="C76" s="8" t="s">
        <v>96</v>
      </c>
      <c r="D76" s="9" t="s">
        <v>97</v>
      </c>
      <c r="E76" s="10" t="s">
        <v>96</v>
      </c>
      <c r="F76" s="8" t="s">
        <v>98</v>
      </c>
      <c r="G76" s="11" t="n">
        <v>44457</v>
      </c>
      <c r="H76" s="11" t="n">
        <v>44489</v>
      </c>
      <c r="I76" s="12" t="n">
        <v>39451</v>
      </c>
      <c r="J76" s="9" t="n">
        <v>15</v>
      </c>
      <c r="K76" s="8" t="s">
        <v>78</v>
      </c>
      <c r="L76" s="13" t="n">
        <v>0.067</v>
      </c>
      <c r="M76" s="12" t="n">
        <v>1</v>
      </c>
      <c r="N76" s="12" t="n">
        <v>30386</v>
      </c>
      <c r="O76" s="12" t="n">
        <v>9065</v>
      </c>
      <c r="P76" s="14" t="n">
        <f aca="false">IF(K76="定額",ROUND((I76-M76)/J76/12,0),ROUND(I76*L76/12,0))</f>
        <v>219</v>
      </c>
      <c r="Q76" s="14" t="n">
        <f aca="false">IF(K76="定額",ROUND((I76-M76)/J76/12,0),ROUND(I76*L76/12,0))</f>
        <v>219</v>
      </c>
      <c r="R76" s="14" t="n">
        <f aca="false">IF(K76="定額",ROUND((I76-M76)/J76/12,0),ROUND(I76*L76/12,0))</f>
        <v>219</v>
      </c>
      <c r="S76" s="14" t="n">
        <f aca="false">IF(K76="定額",ROUND((I76-M76)/J76/12,0),ROUND(I76*L76/12,0))</f>
        <v>219</v>
      </c>
      <c r="T76" s="14" t="n">
        <f aca="false">IF(K76="定額",ROUND((I76-M76)/J76/12,0),ROUND(I76*L76/12,0))</f>
        <v>219</v>
      </c>
      <c r="U76" s="14" t="n">
        <f aca="false">IF(K76="定額",ROUND((I76-M76)/J76/12,0),ROUND(I76*L76/12,0))</f>
        <v>219</v>
      </c>
      <c r="V76" s="14" t="n">
        <f aca="false">IF(K76="定額",ROUND((I76-M76)/J76/12,0),ROUND(I76*L76/12,0))</f>
        <v>219</v>
      </c>
      <c r="W76" s="14" t="n">
        <f aca="false">IF(K76="定額",ROUND((I76-M76)/J76/12,0),ROUND(I76*L76/12,0))</f>
        <v>219</v>
      </c>
      <c r="X76" s="14" t="n">
        <f aca="false">IF(K76="定額",ROUND((I76-M76)/J76/12,0),ROUND(I76*L76/12,0))</f>
        <v>219</v>
      </c>
      <c r="Y76" s="14" t="n">
        <f aca="false">IF(K76="定額",ROUND((I76-M76)/J76/12,0),ROUND(I76*L76/12,0))</f>
        <v>219</v>
      </c>
      <c r="Z76" s="14" t="n">
        <f aca="false">IF(K76="定額",ROUND((I76-M76)/J76/12,0),ROUND(I76*L76/12,0))</f>
        <v>219</v>
      </c>
      <c r="AA76" s="14" t="n">
        <f aca="false">IF(K76="定額",ROUND((I76-M76)/J76/12,0),ROUND(I76*L76/12,0))</f>
        <v>219</v>
      </c>
      <c r="AB76" s="15" t="n">
        <f aca="false">SUM(P76:AA76)</f>
        <v>2628</v>
      </c>
      <c r="AC76" s="15" t="n">
        <f aca="false">O76+AB76</f>
        <v>11693</v>
      </c>
      <c r="AD76" s="15" t="n">
        <f aca="false">I76-AC76</f>
        <v>27758</v>
      </c>
      <c r="AE76" s="10" t="s">
        <v>79</v>
      </c>
      <c r="AF76" s="10" t="s">
        <v>80</v>
      </c>
      <c r="AG76" s="9" t="s">
        <v>81</v>
      </c>
      <c r="AH76" s="10" t="s">
        <v>82</v>
      </c>
      <c r="AI76" s="7" t="s">
        <v>514</v>
      </c>
      <c r="AJ76" s="7" t="s">
        <v>84</v>
      </c>
      <c r="AK76" s="7" t="s">
        <v>85</v>
      </c>
      <c r="AL76" s="8" t="s">
        <v>86</v>
      </c>
      <c r="AM76" s="7" t="s">
        <v>84</v>
      </c>
      <c r="AN76" s="11" t="n">
        <v>47012</v>
      </c>
      <c r="AO76" s="11" t="n">
        <v>45768</v>
      </c>
      <c r="AP76" s="11" t="n">
        <v>46107</v>
      </c>
      <c r="AQ76" s="8" t="s">
        <v>87</v>
      </c>
      <c r="AR76" s="12"/>
      <c r="AS76" s="12"/>
      <c r="AT76" s="12"/>
      <c r="AU76" s="7" t="s">
        <v>515</v>
      </c>
      <c r="AV76" s="7" t="s">
        <v>516</v>
      </c>
      <c r="AW76" s="9" t="s">
        <v>142</v>
      </c>
      <c r="AX76" s="8" t="s">
        <v>116</v>
      </c>
      <c r="AY76" s="8" t="s">
        <v>92</v>
      </c>
      <c r="AZ76" s="11" t="n">
        <v>45883</v>
      </c>
      <c r="BA76" s="7" t="s">
        <v>90</v>
      </c>
      <c r="BB76" s="8" t="s">
        <v>87</v>
      </c>
      <c r="BC76" s="11"/>
      <c r="BD76" s="11"/>
      <c r="BE76" s="12"/>
      <c r="BF76" s="11"/>
      <c r="BG76" s="12"/>
      <c r="BH76" s="12"/>
      <c r="BI76" s="7" t="s">
        <v>90</v>
      </c>
    </row>
    <row r="77" customFormat="false" ht="15" hidden="false" customHeight="true" outlineLevel="0" collapsed="false">
      <c r="A77" s="16" t="s">
        <v>517</v>
      </c>
      <c r="B77" s="17" t="s">
        <v>518</v>
      </c>
      <c r="C77" s="18" t="s">
        <v>152</v>
      </c>
      <c r="D77" s="19" t="s">
        <v>153</v>
      </c>
      <c r="E77" s="17" t="s">
        <v>152</v>
      </c>
      <c r="F77" s="18" t="s">
        <v>136</v>
      </c>
      <c r="G77" s="20" t="n">
        <v>43865</v>
      </c>
      <c r="H77" s="20" t="n">
        <v>43882</v>
      </c>
      <c r="I77" s="21" t="n">
        <v>231415</v>
      </c>
      <c r="J77" s="19" t="n">
        <v>30</v>
      </c>
      <c r="K77" s="18" t="s">
        <v>78</v>
      </c>
      <c r="L77" s="22" t="n">
        <v>0.034</v>
      </c>
      <c r="M77" s="21" t="n">
        <v>11570</v>
      </c>
      <c r="N77" s="21" t="n">
        <v>193977</v>
      </c>
      <c r="O77" s="21" t="n">
        <v>37438</v>
      </c>
      <c r="P77" s="23" t="n">
        <f aca="false">IF(K77="定額",ROUND((I77-M77)/J77/12,0),ROUND(I77*L77/12,0))</f>
        <v>611</v>
      </c>
      <c r="Q77" s="23" t="n">
        <f aca="false">IF(K77="定額",ROUND((I77-M77)/J77/12,0),ROUND(I77*L77/12,0))</f>
        <v>611</v>
      </c>
      <c r="R77" s="23" t="n">
        <f aca="false">IF(K77="定額",ROUND((I77-M77)/J77/12,0),ROUND(I77*L77/12,0))</f>
        <v>611</v>
      </c>
      <c r="S77" s="23" t="n">
        <f aca="false">IF(K77="定額",ROUND((I77-M77)/J77/12,0),ROUND(I77*L77/12,0))</f>
        <v>611</v>
      </c>
      <c r="T77" s="23" t="n">
        <f aca="false">IF(K77="定額",ROUND((I77-M77)/J77/12,0),ROUND(I77*L77/12,0))</f>
        <v>611</v>
      </c>
      <c r="U77" s="23" t="n">
        <f aca="false">IF(K77="定額",ROUND((I77-M77)/J77/12,0),ROUND(I77*L77/12,0))</f>
        <v>611</v>
      </c>
      <c r="V77" s="23" t="n">
        <f aca="false">IF(K77="定額",ROUND((I77-M77)/J77/12,0),ROUND(I77*L77/12,0))</f>
        <v>611</v>
      </c>
      <c r="W77" s="23" t="n">
        <f aca="false">IF(K77="定額",ROUND((I77-M77)/J77/12,0),ROUND(I77*L77/12,0))</f>
        <v>611</v>
      </c>
      <c r="X77" s="23" t="n">
        <f aca="false">IF(K77="定額",ROUND((I77-M77)/J77/12,0),ROUND(I77*L77/12,0))</f>
        <v>611</v>
      </c>
      <c r="Y77" s="23" t="n">
        <f aca="false">IF(K77="定額",ROUND((I77-M77)/J77/12,0),ROUND(I77*L77/12,0))</f>
        <v>611</v>
      </c>
      <c r="Z77" s="23" t="n">
        <f aca="false">IF(K77="定額",ROUND((I77-M77)/J77/12,0),ROUND(I77*L77/12,0))</f>
        <v>611</v>
      </c>
      <c r="AA77" s="23" t="n">
        <f aca="false">IF(K77="定額",ROUND((I77-M77)/J77/12,0),ROUND(I77*L77/12,0))</f>
        <v>611</v>
      </c>
      <c r="AB77" s="24" t="n">
        <f aca="false">SUM(P77:AA77)</f>
        <v>7332</v>
      </c>
      <c r="AC77" s="24" t="n">
        <f aca="false">O77+AB77</f>
        <v>44770</v>
      </c>
      <c r="AD77" s="24" t="n">
        <f aca="false">I77-AC77</f>
        <v>186645</v>
      </c>
      <c r="AE77" s="17" t="s">
        <v>167</v>
      </c>
      <c r="AF77" s="17" t="s">
        <v>277</v>
      </c>
      <c r="AG77" s="19" t="s">
        <v>278</v>
      </c>
      <c r="AH77" s="17" t="s">
        <v>279</v>
      </c>
      <c r="AI77" s="16" t="s">
        <v>519</v>
      </c>
      <c r="AJ77" s="16" t="s">
        <v>104</v>
      </c>
      <c r="AK77" s="16" t="s">
        <v>105</v>
      </c>
      <c r="AL77" s="18" t="s">
        <v>86</v>
      </c>
      <c r="AM77" s="16" t="s">
        <v>104</v>
      </c>
      <c r="AN77" s="20" t="n">
        <v>46420</v>
      </c>
      <c r="AO77" s="20" t="n">
        <v>45823</v>
      </c>
      <c r="AP77" s="20" t="n">
        <v>46245</v>
      </c>
      <c r="AQ77" s="18" t="s">
        <v>87</v>
      </c>
      <c r="AR77" s="21"/>
      <c r="AS77" s="21"/>
      <c r="AT77" s="21"/>
      <c r="AU77" s="16" t="s">
        <v>520</v>
      </c>
      <c r="AV77" s="16" t="s">
        <v>521</v>
      </c>
      <c r="AW77" s="19" t="s">
        <v>142</v>
      </c>
      <c r="AX77" s="18" t="s">
        <v>116</v>
      </c>
      <c r="AY77" s="18" t="s">
        <v>92</v>
      </c>
      <c r="AZ77" s="20" t="n">
        <v>45935</v>
      </c>
      <c r="BA77" s="17" t="s">
        <v>163</v>
      </c>
      <c r="BB77" s="18" t="s">
        <v>87</v>
      </c>
      <c r="BC77" s="20"/>
      <c r="BD77" s="20"/>
      <c r="BE77" s="21"/>
      <c r="BF77" s="20"/>
      <c r="BG77" s="21"/>
      <c r="BH77" s="21"/>
      <c r="BI77" s="17" t="s">
        <v>164</v>
      </c>
    </row>
    <row r="78" customFormat="false" ht="15" hidden="false" customHeight="true" outlineLevel="0" collapsed="false">
      <c r="A78" s="7" t="s">
        <v>522</v>
      </c>
      <c r="B78" s="10" t="s">
        <v>523</v>
      </c>
      <c r="C78" s="8" t="s">
        <v>199</v>
      </c>
      <c r="D78" s="9" t="s">
        <v>200</v>
      </c>
      <c r="E78" s="10" t="s">
        <v>199</v>
      </c>
      <c r="F78" s="8" t="s">
        <v>136</v>
      </c>
      <c r="G78" s="11" t="n">
        <v>43359</v>
      </c>
      <c r="H78" s="11" t="n">
        <v>43418</v>
      </c>
      <c r="I78" s="12" t="n">
        <v>73835</v>
      </c>
      <c r="J78" s="9" t="n">
        <v>5</v>
      </c>
      <c r="K78" s="8" t="s">
        <v>78</v>
      </c>
      <c r="L78" s="13" t="n">
        <v>0.2</v>
      </c>
      <c r="M78" s="12" t="n">
        <v>1</v>
      </c>
      <c r="N78" s="12" t="n">
        <v>7385</v>
      </c>
      <c r="O78" s="12" t="n">
        <v>66450</v>
      </c>
      <c r="P78" s="14" t="n">
        <f aca="false">IF(K78="定額",ROUND((I78-M78)/J78/12,0),ROUND(I78*L78/12,0))</f>
        <v>1231</v>
      </c>
      <c r="Q78" s="14" t="n">
        <f aca="false">IF(K78="定額",ROUND((I78-M78)/J78/12,0),ROUND(I78*L78/12,0))</f>
        <v>1231</v>
      </c>
      <c r="R78" s="14" t="n">
        <f aca="false">IF(K78="定額",ROUND((I78-M78)/J78/12,0),ROUND(I78*L78/12,0))</f>
        <v>1231</v>
      </c>
      <c r="S78" s="14" t="n">
        <f aca="false">IF(K78="定額",ROUND((I78-M78)/J78/12,0),ROUND(I78*L78/12,0))</f>
        <v>1231</v>
      </c>
      <c r="T78" s="14" t="n">
        <f aca="false">IF(K78="定額",ROUND((I78-M78)/J78/12,0),ROUND(I78*L78/12,0))</f>
        <v>1231</v>
      </c>
      <c r="U78" s="14" t="n">
        <f aca="false">IF(K78="定額",ROUND((I78-M78)/J78/12,0),ROUND(I78*L78/12,0))</f>
        <v>1231</v>
      </c>
      <c r="V78" s="14" t="n">
        <f aca="false">IF(K78="定額",ROUND((I78-M78)/J78/12,0),ROUND(I78*L78/12,0))</f>
        <v>1231</v>
      </c>
      <c r="W78" s="14" t="n">
        <f aca="false">IF(K78="定額",ROUND((I78-M78)/J78/12,0),ROUND(I78*L78/12,0))</f>
        <v>1231</v>
      </c>
      <c r="X78" s="14" t="n">
        <f aca="false">IF(K78="定額",ROUND((I78-M78)/J78/12,0),ROUND(I78*L78/12,0))</f>
        <v>1231</v>
      </c>
      <c r="Y78" s="14" t="n">
        <f aca="false">IF(K78="定額",ROUND((I78-M78)/J78/12,0),ROUND(I78*L78/12,0))</f>
        <v>1231</v>
      </c>
      <c r="Z78" s="14" t="n">
        <f aca="false">IF(K78="定額",ROUND((I78-M78)/J78/12,0),ROUND(I78*L78/12,0))</f>
        <v>1231</v>
      </c>
      <c r="AA78" s="14" t="n">
        <f aca="false">IF(K78="定額",ROUND((I78-M78)/J78/12,0),ROUND(I78*L78/12,0))</f>
        <v>1231</v>
      </c>
      <c r="AB78" s="15" t="n">
        <f aca="false">SUM(P78:AA78)</f>
        <v>14772</v>
      </c>
      <c r="AC78" s="15" t="n">
        <f aca="false">O78+AB78</f>
        <v>81222</v>
      </c>
      <c r="AD78" s="15" t="n">
        <f aca="false">I78-AC78</f>
        <v>-7387</v>
      </c>
      <c r="AE78" s="10" t="s">
        <v>154</v>
      </c>
      <c r="AF78" s="10" t="s">
        <v>155</v>
      </c>
      <c r="AG78" s="9" t="s">
        <v>156</v>
      </c>
      <c r="AH78" s="10" t="s">
        <v>157</v>
      </c>
      <c r="AI78" s="7" t="s">
        <v>524</v>
      </c>
      <c r="AJ78" s="10" t="s">
        <v>138</v>
      </c>
      <c r="AK78" s="7" t="s">
        <v>139</v>
      </c>
      <c r="AL78" s="8" t="s">
        <v>86</v>
      </c>
      <c r="AM78" s="10" t="s">
        <v>138</v>
      </c>
      <c r="AN78" s="11" t="n">
        <v>45914</v>
      </c>
      <c r="AO78" s="11" t="n">
        <v>45893</v>
      </c>
      <c r="AP78" s="11" t="n">
        <v>46185</v>
      </c>
      <c r="AQ78" s="8" t="s">
        <v>87</v>
      </c>
      <c r="AR78" s="12"/>
      <c r="AS78" s="12"/>
      <c r="AT78" s="12"/>
      <c r="AU78" s="7" t="s">
        <v>525</v>
      </c>
      <c r="AV78" s="7" t="s">
        <v>526</v>
      </c>
      <c r="AW78" s="9" t="s">
        <v>142</v>
      </c>
      <c r="AX78" s="8" t="s">
        <v>116</v>
      </c>
      <c r="AY78" s="8" t="s">
        <v>174</v>
      </c>
      <c r="AZ78" s="11"/>
      <c r="BA78" s="10" t="s">
        <v>293</v>
      </c>
      <c r="BB78" s="8" t="s">
        <v>87</v>
      </c>
      <c r="BC78" s="11"/>
      <c r="BD78" s="11"/>
      <c r="BE78" s="12"/>
      <c r="BF78" s="11"/>
      <c r="BG78" s="12"/>
      <c r="BH78" s="12"/>
      <c r="BI78" s="10" t="s">
        <v>164</v>
      </c>
    </row>
    <row r="79" customFormat="false" ht="15" hidden="false" customHeight="true" outlineLevel="0" collapsed="false">
      <c r="A79" s="16" t="s">
        <v>527</v>
      </c>
      <c r="B79" s="17" t="s">
        <v>528</v>
      </c>
      <c r="C79" s="18" t="s">
        <v>121</v>
      </c>
      <c r="D79" s="19" t="s">
        <v>122</v>
      </c>
      <c r="E79" s="17" t="s">
        <v>121</v>
      </c>
      <c r="F79" s="18" t="s">
        <v>98</v>
      </c>
      <c r="G79" s="20" t="n">
        <v>43489</v>
      </c>
      <c r="H79" s="20" t="n">
        <v>43540</v>
      </c>
      <c r="I79" s="21" t="n">
        <v>15359</v>
      </c>
      <c r="J79" s="19" t="n">
        <v>6</v>
      </c>
      <c r="K79" s="18" t="s">
        <v>123</v>
      </c>
      <c r="L79" s="22" t="n">
        <v>0.333</v>
      </c>
      <c r="M79" s="21" t="n">
        <v>1</v>
      </c>
      <c r="N79" s="21" t="n">
        <v>1</v>
      </c>
      <c r="O79" s="21" t="n">
        <v>15358</v>
      </c>
      <c r="P79" s="23" t="n">
        <f aca="false">IF(K79="定額",ROUND((I79-M79)/J79/12,0),ROUND(I79*L79/12,0))</f>
        <v>426</v>
      </c>
      <c r="Q79" s="23" t="n">
        <f aca="false">IF(K79="定額",ROUND((I79-M79)/J79/12,0),ROUND(I79*L79/12,0))</f>
        <v>426</v>
      </c>
      <c r="R79" s="23" t="n">
        <f aca="false">IF(K79="定額",ROUND((I79-M79)/J79/12,0),ROUND(I79*L79/12,0))</f>
        <v>426</v>
      </c>
      <c r="S79" s="23" t="n">
        <f aca="false">IF(K79="定額",ROUND((I79-M79)/J79/12,0),ROUND(I79*L79/12,0))</f>
        <v>426</v>
      </c>
      <c r="T79" s="23" t="n">
        <f aca="false">IF(K79="定額",ROUND((I79-M79)/J79/12,0),ROUND(I79*L79/12,0))</f>
        <v>426</v>
      </c>
      <c r="U79" s="23" t="n">
        <f aca="false">IF(K79="定額",ROUND((I79-M79)/J79/12,0),ROUND(I79*L79/12,0))</f>
        <v>426</v>
      </c>
      <c r="V79" s="23" t="n">
        <f aca="false">IF(K79="定額",ROUND((I79-M79)/J79/12,0),ROUND(I79*L79/12,0))</f>
        <v>426</v>
      </c>
      <c r="W79" s="23" t="n">
        <f aca="false">IF(K79="定額",ROUND((I79-M79)/J79/12,0),ROUND(I79*L79/12,0))</f>
        <v>426</v>
      </c>
      <c r="X79" s="23" t="n">
        <f aca="false">IF(K79="定額",ROUND((I79-M79)/J79/12,0),ROUND(I79*L79/12,0))</f>
        <v>426</v>
      </c>
      <c r="Y79" s="23" t="n">
        <f aca="false">IF(K79="定額",ROUND((I79-M79)/J79/12,0),ROUND(I79*L79/12,0))</f>
        <v>426</v>
      </c>
      <c r="Z79" s="23" t="n">
        <f aca="false">IF(K79="定額",ROUND((I79-M79)/J79/12,0),ROUND(I79*L79/12,0))</f>
        <v>426</v>
      </c>
      <c r="AA79" s="23" t="n">
        <f aca="false">IF(K79="定額",ROUND((I79-M79)/J79/12,0),ROUND(I79*L79/12,0))</f>
        <v>426</v>
      </c>
      <c r="AB79" s="24" t="n">
        <f aca="false">SUM(P79:AA79)</f>
        <v>5112</v>
      </c>
      <c r="AC79" s="24" t="n">
        <f aca="false">O79+AB79</f>
        <v>20470</v>
      </c>
      <c r="AD79" s="24" t="n">
        <f aca="false">I79-AC79</f>
        <v>-5111</v>
      </c>
      <c r="AE79" s="17" t="s">
        <v>124</v>
      </c>
      <c r="AF79" s="17" t="s">
        <v>125</v>
      </c>
      <c r="AG79" s="19" t="s">
        <v>126</v>
      </c>
      <c r="AH79" s="17" t="s">
        <v>127</v>
      </c>
      <c r="AI79" s="16" t="s">
        <v>529</v>
      </c>
      <c r="AJ79" s="17" t="s">
        <v>159</v>
      </c>
      <c r="AK79" s="16" t="s">
        <v>160</v>
      </c>
      <c r="AL79" s="18" t="s">
        <v>86</v>
      </c>
      <c r="AM79" s="17" t="s">
        <v>159</v>
      </c>
      <c r="AN79" s="20" t="n">
        <v>46044</v>
      </c>
      <c r="AO79" s="20" t="n">
        <v>45819</v>
      </c>
      <c r="AP79" s="20" t="n">
        <v>46107</v>
      </c>
      <c r="AQ79" s="18" t="s">
        <v>87</v>
      </c>
      <c r="AR79" s="21"/>
      <c r="AS79" s="21"/>
      <c r="AT79" s="21"/>
      <c r="AU79" s="16" t="s">
        <v>530</v>
      </c>
      <c r="AV79" s="16" t="s">
        <v>531</v>
      </c>
      <c r="AW79" s="19" t="s">
        <v>142</v>
      </c>
      <c r="AX79" s="18" t="s">
        <v>91</v>
      </c>
      <c r="AY79" s="18" t="s">
        <v>92</v>
      </c>
      <c r="AZ79" s="20" t="n">
        <v>45880</v>
      </c>
      <c r="BA79" s="17" t="s">
        <v>163</v>
      </c>
      <c r="BB79" s="18" t="s">
        <v>87</v>
      </c>
      <c r="BC79" s="20"/>
      <c r="BD79" s="20"/>
      <c r="BE79" s="21"/>
      <c r="BF79" s="20"/>
      <c r="BG79" s="21"/>
      <c r="BH79" s="21"/>
      <c r="BI79" s="17" t="s">
        <v>133</v>
      </c>
    </row>
    <row r="80" customFormat="false" ht="15" hidden="false" customHeight="true" outlineLevel="0" collapsed="false">
      <c r="A80" s="7" t="s">
        <v>532</v>
      </c>
      <c r="B80" s="10" t="s">
        <v>533</v>
      </c>
      <c r="C80" s="8" t="s">
        <v>121</v>
      </c>
      <c r="D80" s="9" t="s">
        <v>122</v>
      </c>
      <c r="E80" s="10" t="s">
        <v>121</v>
      </c>
      <c r="F80" s="8" t="s">
        <v>98</v>
      </c>
      <c r="G80" s="11" t="n">
        <v>43587</v>
      </c>
      <c r="H80" s="11" t="n">
        <v>43597</v>
      </c>
      <c r="I80" s="12" t="n">
        <v>30175</v>
      </c>
      <c r="J80" s="9" t="n">
        <v>6</v>
      </c>
      <c r="K80" s="8" t="s">
        <v>123</v>
      </c>
      <c r="L80" s="13" t="n">
        <v>0.333</v>
      </c>
      <c r="M80" s="12" t="n">
        <v>1</v>
      </c>
      <c r="N80" s="12" t="n">
        <v>1</v>
      </c>
      <c r="O80" s="12" t="n">
        <v>30174</v>
      </c>
      <c r="P80" s="14" t="n">
        <f aca="false">IF(K80="定額",ROUND((I80-M80)/J80/12,0),ROUND(I80*L80/12,0))</f>
        <v>837</v>
      </c>
      <c r="Q80" s="14" t="n">
        <f aca="false">IF(K80="定額",ROUND((I80-M80)/J80/12,0),ROUND(I80*L80/12,0))</f>
        <v>837</v>
      </c>
      <c r="R80" s="14" t="n">
        <f aca="false">IF(K80="定額",ROUND((I80-M80)/J80/12,0),ROUND(I80*L80/12,0))</f>
        <v>837</v>
      </c>
      <c r="S80" s="14" t="n">
        <f aca="false">IF(K80="定額",ROUND((I80-M80)/J80/12,0),ROUND(I80*L80/12,0))</f>
        <v>837</v>
      </c>
      <c r="T80" s="14" t="n">
        <f aca="false">IF(K80="定額",ROUND((I80-M80)/J80/12,0),ROUND(I80*L80/12,0))</f>
        <v>837</v>
      </c>
      <c r="U80" s="14" t="n">
        <f aca="false">IF(K80="定額",ROUND((I80-M80)/J80/12,0),ROUND(I80*L80/12,0))</f>
        <v>837</v>
      </c>
      <c r="V80" s="14" t="n">
        <f aca="false">IF(K80="定額",ROUND((I80-M80)/J80/12,0),ROUND(I80*L80/12,0))</f>
        <v>837</v>
      </c>
      <c r="W80" s="14" t="n">
        <f aca="false">IF(K80="定額",ROUND((I80-M80)/J80/12,0),ROUND(I80*L80/12,0))</f>
        <v>837</v>
      </c>
      <c r="X80" s="14" t="n">
        <f aca="false">IF(K80="定額",ROUND((I80-M80)/J80/12,0),ROUND(I80*L80/12,0))</f>
        <v>837</v>
      </c>
      <c r="Y80" s="14" t="n">
        <f aca="false">IF(K80="定額",ROUND((I80-M80)/J80/12,0),ROUND(I80*L80/12,0))</f>
        <v>837</v>
      </c>
      <c r="Z80" s="14" t="n">
        <f aca="false">IF(K80="定額",ROUND((I80-M80)/J80/12,0),ROUND(I80*L80/12,0))</f>
        <v>837</v>
      </c>
      <c r="AA80" s="14" t="n">
        <f aca="false">IF(K80="定額",ROUND((I80-M80)/J80/12,0),ROUND(I80*L80/12,0))</f>
        <v>837</v>
      </c>
      <c r="AB80" s="15" t="n">
        <f aca="false">SUM(P80:AA80)</f>
        <v>10044</v>
      </c>
      <c r="AC80" s="15" t="n">
        <f aca="false">O80+AB80</f>
        <v>40218</v>
      </c>
      <c r="AD80" s="15" t="n">
        <f aca="false">I80-AC80</f>
        <v>-10043</v>
      </c>
      <c r="AE80" s="10" t="s">
        <v>167</v>
      </c>
      <c r="AF80" s="10" t="s">
        <v>168</v>
      </c>
      <c r="AG80" s="9" t="s">
        <v>169</v>
      </c>
      <c r="AH80" s="10" t="s">
        <v>170</v>
      </c>
      <c r="AI80" s="7" t="s">
        <v>534</v>
      </c>
      <c r="AJ80" s="10" t="s">
        <v>188</v>
      </c>
      <c r="AK80" s="7" t="s">
        <v>189</v>
      </c>
      <c r="AL80" s="8" t="s">
        <v>86</v>
      </c>
      <c r="AM80" s="10" t="s">
        <v>188</v>
      </c>
      <c r="AN80" s="11" t="n">
        <v>45777</v>
      </c>
      <c r="AO80" s="11" t="n">
        <v>45781</v>
      </c>
      <c r="AP80" s="11" t="n">
        <v>46186</v>
      </c>
      <c r="AQ80" s="8" t="s">
        <v>87</v>
      </c>
      <c r="AR80" s="12"/>
      <c r="AS80" s="12"/>
      <c r="AT80" s="12"/>
      <c r="AU80" s="7" t="s">
        <v>535</v>
      </c>
      <c r="AV80" s="7" t="s">
        <v>536</v>
      </c>
      <c r="AW80" s="9" t="s">
        <v>142</v>
      </c>
      <c r="AX80" s="8" t="s">
        <v>108</v>
      </c>
      <c r="AY80" s="8" t="s">
        <v>92</v>
      </c>
      <c r="AZ80" s="11"/>
      <c r="BA80" s="7" t="s">
        <v>90</v>
      </c>
      <c r="BB80" s="8" t="s">
        <v>87</v>
      </c>
      <c r="BC80" s="11"/>
      <c r="BD80" s="11"/>
      <c r="BE80" s="12"/>
      <c r="BF80" s="11"/>
      <c r="BG80" s="12"/>
      <c r="BH80" s="12"/>
      <c r="BI80" s="10" t="s">
        <v>110</v>
      </c>
    </row>
    <row r="81" customFormat="false" ht="15" hidden="false" customHeight="true" outlineLevel="0" collapsed="false">
      <c r="A81" s="16" t="s">
        <v>537</v>
      </c>
      <c r="B81" s="17" t="s">
        <v>538</v>
      </c>
      <c r="C81" s="18" t="s">
        <v>96</v>
      </c>
      <c r="D81" s="19" t="s">
        <v>97</v>
      </c>
      <c r="E81" s="17" t="s">
        <v>96</v>
      </c>
      <c r="F81" s="18" t="s">
        <v>77</v>
      </c>
      <c r="G81" s="20" t="n">
        <v>43398</v>
      </c>
      <c r="H81" s="20" t="n">
        <v>43423</v>
      </c>
      <c r="I81" s="21" t="n">
        <v>491895</v>
      </c>
      <c r="J81" s="19" t="n">
        <v>15</v>
      </c>
      <c r="K81" s="18" t="s">
        <v>78</v>
      </c>
      <c r="L81" s="22" t="n">
        <v>0.067</v>
      </c>
      <c r="M81" s="21" t="n">
        <v>1</v>
      </c>
      <c r="N81" s="21" t="n">
        <v>283152</v>
      </c>
      <c r="O81" s="21" t="n">
        <v>208743</v>
      </c>
      <c r="P81" s="23" t="n">
        <f aca="false">IF(K81="定額",ROUND((I81-M81)/J81/12,0),ROUND(I81*L81/12,0))</f>
        <v>2733</v>
      </c>
      <c r="Q81" s="23" t="n">
        <f aca="false">IF(K81="定額",ROUND((I81-M81)/J81/12,0),ROUND(I81*L81/12,0))</f>
        <v>2733</v>
      </c>
      <c r="R81" s="23" t="n">
        <f aca="false">IF(K81="定額",ROUND((I81-M81)/J81/12,0),ROUND(I81*L81/12,0))</f>
        <v>2733</v>
      </c>
      <c r="S81" s="23" t="n">
        <f aca="false">IF(K81="定額",ROUND((I81-M81)/J81/12,0),ROUND(I81*L81/12,0))</f>
        <v>2733</v>
      </c>
      <c r="T81" s="23" t="n">
        <f aca="false">IF(K81="定額",ROUND((I81-M81)/J81/12,0),ROUND(I81*L81/12,0))</f>
        <v>2733</v>
      </c>
      <c r="U81" s="23" t="n">
        <f aca="false">IF(K81="定額",ROUND((I81-M81)/J81/12,0),ROUND(I81*L81/12,0))</f>
        <v>2733</v>
      </c>
      <c r="V81" s="23" t="n">
        <f aca="false">IF(K81="定額",ROUND((I81-M81)/J81/12,0),ROUND(I81*L81/12,0))</f>
        <v>2733</v>
      </c>
      <c r="W81" s="23" t="n">
        <f aca="false">IF(K81="定額",ROUND((I81-M81)/J81/12,0),ROUND(I81*L81/12,0))</f>
        <v>2733</v>
      </c>
      <c r="X81" s="23" t="n">
        <f aca="false">IF(K81="定額",ROUND((I81-M81)/J81/12,0),ROUND(I81*L81/12,0))</f>
        <v>2733</v>
      </c>
      <c r="Y81" s="23" t="n">
        <f aca="false">IF(K81="定額",ROUND((I81-M81)/J81/12,0),ROUND(I81*L81/12,0))</f>
        <v>2733</v>
      </c>
      <c r="Z81" s="23" t="n">
        <f aca="false">IF(K81="定額",ROUND((I81-M81)/J81/12,0),ROUND(I81*L81/12,0))</f>
        <v>2733</v>
      </c>
      <c r="AA81" s="23" t="n">
        <f aca="false">IF(K81="定額",ROUND((I81-M81)/J81/12,0),ROUND(I81*L81/12,0))</f>
        <v>2733</v>
      </c>
      <c r="AB81" s="24" t="n">
        <f aca="false">SUM(P81:AA81)</f>
        <v>32796</v>
      </c>
      <c r="AC81" s="24" t="n">
        <f aca="false">O81+AB81</f>
        <v>241539</v>
      </c>
      <c r="AD81" s="24" t="n">
        <f aca="false">I81-AC81</f>
        <v>250356</v>
      </c>
      <c r="AE81" s="17" t="s">
        <v>154</v>
      </c>
      <c r="AF81" s="17" t="s">
        <v>155</v>
      </c>
      <c r="AG81" s="19" t="s">
        <v>156</v>
      </c>
      <c r="AH81" s="17" t="s">
        <v>157</v>
      </c>
      <c r="AI81" s="16" t="s">
        <v>539</v>
      </c>
      <c r="AJ81" s="16" t="s">
        <v>84</v>
      </c>
      <c r="AK81" s="16" t="s">
        <v>85</v>
      </c>
      <c r="AL81" s="18" t="s">
        <v>86</v>
      </c>
      <c r="AM81" s="16" t="s">
        <v>84</v>
      </c>
      <c r="AN81" s="20" t="n">
        <v>44858</v>
      </c>
      <c r="AO81" s="20" t="n">
        <v>45807</v>
      </c>
      <c r="AP81" s="20" t="n">
        <v>46137</v>
      </c>
      <c r="AQ81" s="18" t="s">
        <v>87</v>
      </c>
      <c r="AR81" s="21"/>
      <c r="AS81" s="21"/>
      <c r="AT81" s="21"/>
      <c r="AU81" s="16" t="s">
        <v>540</v>
      </c>
      <c r="AV81" s="16" t="s">
        <v>541</v>
      </c>
      <c r="AW81" s="19" t="s">
        <v>142</v>
      </c>
      <c r="AX81" s="18" t="s">
        <v>108</v>
      </c>
      <c r="AY81" s="18" t="s">
        <v>92</v>
      </c>
      <c r="AZ81" s="20" t="n">
        <v>45918</v>
      </c>
      <c r="BA81" s="17" t="s">
        <v>93</v>
      </c>
      <c r="BB81" s="18" t="s">
        <v>86</v>
      </c>
      <c r="BC81" s="20" t="n">
        <v>45884</v>
      </c>
      <c r="BD81" s="20"/>
      <c r="BE81" s="21"/>
      <c r="BF81" s="20"/>
      <c r="BG81" s="21"/>
      <c r="BH81" s="21"/>
      <c r="BI81" s="17" t="s">
        <v>149</v>
      </c>
    </row>
    <row r="82" customFormat="false" ht="15" hidden="false" customHeight="true" outlineLevel="0" collapsed="false">
      <c r="A82" s="7" t="s">
        <v>542</v>
      </c>
      <c r="B82" s="10" t="s">
        <v>543</v>
      </c>
      <c r="C82" s="8" t="s">
        <v>221</v>
      </c>
      <c r="D82" s="9" t="s">
        <v>222</v>
      </c>
      <c r="E82" s="10" t="s">
        <v>221</v>
      </c>
      <c r="F82" s="9" t="s">
        <v>90</v>
      </c>
      <c r="G82" s="11" t="n">
        <v>43587</v>
      </c>
      <c r="H82" s="11" t="n">
        <v>43619</v>
      </c>
      <c r="I82" s="12" t="n">
        <v>27222</v>
      </c>
      <c r="J82" s="9" t="n">
        <v>10</v>
      </c>
      <c r="K82" s="8" t="s">
        <v>123</v>
      </c>
      <c r="L82" s="13" t="n">
        <v>0.2</v>
      </c>
      <c r="M82" s="12" t="n">
        <v>1</v>
      </c>
      <c r="N82" s="12" t="n">
        <v>1</v>
      </c>
      <c r="O82" s="12" t="n">
        <v>27221</v>
      </c>
      <c r="P82" s="14" t="n">
        <f aca="false">IF(K82="定額",ROUND((I82-M82)/J82/12,0),ROUND(I82*L82/12,0))</f>
        <v>454</v>
      </c>
      <c r="Q82" s="14" t="n">
        <f aca="false">IF(K82="定額",ROUND((I82-M82)/J82/12,0),ROUND(I82*L82/12,0))</f>
        <v>454</v>
      </c>
      <c r="R82" s="14" t="n">
        <f aca="false">IF(K82="定額",ROUND((I82-M82)/J82/12,0),ROUND(I82*L82/12,0))</f>
        <v>454</v>
      </c>
      <c r="S82" s="14" t="n">
        <f aca="false">IF(K82="定額",ROUND((I82-M82)/J82/12,0),ROUND(I82*L82/12,0))</f>
        <v>454</v>
      </c>
      <c r="T82" s="14" t="n">
        <f aca="false">IF(K82="定額",ROUND((I82-M82)/J82/12,0),ROUND(I82*L82/12,0))</f>
        <v>454</v>
      </c>
      <c r="U82" s="14" t="n">
        <f aca="false">IF(K82="定額",ROUND((I82-M82)/J82/12,0),ROUND(I82*L82/12,0))</f>
        <v>454</v>
      </c>
      <c r="V82" s="14" t="n">
        <f aca="false">IF(K82="定額",ROUND((I82-M82)/J82/12,0),ROUND(I82*L82/12,0))</f>
        <v>454</v>
      </c>
      <c r="W82" s="14" t="n">
        <f aca="false">IF(K82="定額",ROUND((I82-M82)/J82/12,0),ROUND(I82*L82/12,0))</f>
        <v>454</v>
      </c>
      <c r="X82" s="14" t="n">
        <f aca="false">IF(K82="定額",ROUND((I82-M82)/J82/12,0),ROUND(I82*L82/12,0))</f>
        <v>454</v>
      </c>
      <c r="Y82" s="14" t="n">
        <f aca="false">IF(K82="定額",ROUND((I82-M82)/J82/12,0),ROUND(I82*L82/12,0))</f>
        <v>454</v>
      </c>
      <c r="Z82" s="14" t="n">
        <f aca="false">IF(K82="定額",ROUND((I82-M82)/J82/12,0),ROUND(I82*L82/12,0))</f>
        <v>454</v>
      </c>
      <c r="AA82" s="14" t="n">
        <f aca="false">IF(K82="定額",ROUND((I82-M82)/J82/12,0),ROUND(I82*L82/12,0))</f>
        <v>454</v>
      </c>
      <c r="AB82" s="15" t="n">
        <f aca="false">SUM(P82:AA82)</f>
        <v>5448</v>
      </c>
      <c r="AC82" s="15" t="n">
        <f aca="false">O82+AB82</f>
        <v>32669</v>
      </c>
      <c r="AD82" s="15" t="n">
        <f aca="false">I82-AC82</f>
        <v>-5447</v>
      </c>
      <c r="AE82" s="10" t="s">
        <v>79</v>
      </c>
      <c r="AF82" s="10" t="s">
        <v>80</v>
      </c>
      <c r="AG82" s="9" t="s">
        <v>81</v>
      </c>
      <c r="AH82" s="10" t="s">
        <v>82</v>
      </c>
      <c r="AI82" s="7" t="s">
        <v>544</v>
      </c>
      <c r="AJ82" s="10" t="s">
        <v>188</v>
      </c>
      <c r="AK82" s="7" t="s">
        <v>189</v>
      </c>
      <c r="AL82" s="8" t="s">
        <v>86</v>
      </c>
      <c r="AM82" s="10" t="s">
        <v>188</v>
      </c>
      <c r="AN82" s="11" t="n">
        <v>44682</v>
      </c>
      <c r="AO82" s="11" t="n">
        <v>45815</v>
      </c>
      <c r="AP82" s="11" t="n">
        <v>46173</v>
      </c>
      <c r="AQ82" s="8" t="s">
        <v>87</v>
      </c>
      <c r="AR82" s="12"/>
      <c r="AS82" s="12"/>
      <c r="AT82" s="12"/>
      <c r="AU82" s="7" t="s">
        <v>545</v>
      </c>
      <c r="AV82" s="7" t="s">
        <v>546</v>
      </c>
      <c r="AW82" s="9" t="s">
        <v>142</v>
      </c>
      <c r="AX82" s="8" t="s">
        <v>116</v>
      </c>
      <c r="AY82" s="8" t="s">
        <v>92</v>
      </c>
      <c r="AZ82" s="11" t="n">
        <v>45941</v>
      </c>
      <c r="BA82" s="10" t="s">
        <v>163</v>
      </c>
      <c r="BB82" s="8" t="s">
        <v>87</v>
      </c>
      <c r="BC82" s="11"/>
      <c r="BD82" s="11"/>
      <c r="BE82" s="12"/>
      <c r="BF82" s="11"/>
      <c r="BG82" s="12"/>
      <c r="BH82" s="12"/>
      <c r="BI82" s="10" t="s">
        <v>149</v>
      </c>
    </row>
    <row r="83" customFormat="false" ht="15" hidden="false" customHeight="true" outlineLevel="0" collapsed="false">
      <c r="A83" s="16" t="s">
        <v>547</v>
      </c>
      <c r="B83" s="17" t="s">
        <v>548</v>
      </c>
      <c r="C83" s="18" t="s">
        <v>75</v>
      </c>
      <c r="D83" s="19" t="s">
        <v>76</v>
      </c>
      <c r="E83" s="17" t="s">
        <v>75</v>
      </c>
      <c r="F83" s="18" t="s">
        <v>98</v>
      </c>
      <c r="G83" s="20" t="n">
        <v>44568</v>
      </c>
      <c r="H83" s="20" t="n">
        <v>44607</v>
      </c>
      <c r="I83" s="21" t="n">
        <v>306820</v>
      </c>
      <c r="J83" s="19" t="n">
        <v>5</v>
      </c>
      <c r="K83" s="18" t="s">
        <v>78</v>
      </c>
      <c r="L83" s="22" t="n">
        <v>0.2</v>
      </c>
      <c r="M83" s="21" t="n">
        <v>1</v>
      </c>
      <c r="N83" s="21" t="n">
        <v>115127</v>
      </c>
      <c r="O83" s="21" t="n">
        <v>191693</v>
      </c>
      <c r="P83" s="23" t="n">
        <f aca="false">IF(K83="定額",ROUND((I83-M83)/J83/12,0),ROUND(I83*L83/12,0))</f>
        <v>5114</v>
      </c>
      <c r="Q83" s="23" t="n">
        <f aca="false">IF(K83="定額",ROUND((I83-M83)/J83/12,0),ROUND(I83*L83/12,0))</f>
        <v>5114</v>
      </c>
      <c r="R83" s="23" t="n">
        <f aca="false">IF(K83="定額",ROUND((I83-M83)/J83/12,0),ROUND(I83*L83/12,0))</f>
        <v>5114</v>
      </c>
      <c r="S83" s="23" t="n">
        <f aca="false">IF(K83="定額",ROUND((I83-M83)/J83/12,0),ROUND(I83*L83/12,0))</f>
        <v>5114</v>
      </c>
      <c r="T83" s="23" t="n">
        <f aca="false">IF(K83="定額",ROUND((I83-M83)/J83/12,0),ROUND(I83*L83/12,0))</f>
        <v>5114</v>
      </c>
      <c r="U83" s="23" t="n">
        <f aca="false">IF(K83="定額",ROUND((I83-M83)/J83/12,0),ROUND(I83*L83/12,0))</f>
        <v>5114</v>
      </c>
      <c r="V83" s="23" t="n">
        <f aca="false">IF(K83="定額",ROUND((I83-M83)/J83/12,0),ROUND(I83*L83/12,0))</f>
        <v>5114</v>
      </c>
      <c r="W83" s="23" t="n">
        <f aca="false">IF(K83="定額",ROUND((I83-M83)/J83/12,0),ROUND(I83*L83/12,0))</f>
        <v>5114</v>
      </c>
      <c r="X83" s="23" t="n">
        <f aca="false">IF(K83="定額",ROUND((I83-M83)/J83/12,0),ROUND(I83*L83/12,0))</f>
        <v>5114</v>
      </c>
      <c r="Y83" s="23" t="n">
        <f aca="false">IF(K83="定額",ROUND((I83-M83)/J83/12,0),ROUND(I83*L83/12,0))</f>
        <v>5114</v>
      </c>
      <c r="Z83" s="23" t="n">
        <f aca="false">IF(K83="定額",ROUND((I83-M83)/J83/12,0),ROUND(I83*L83/12,0))</f>
        <v>5114</v>
      </c>
      <c r="AA83" s="23" t="n">
        <f aca="false">IF(K83="定額",ROUND((I83-M83)/J83/12,0),ROUND(I83*L83/12,0))</f>
        <v>5114</v>
      </c>
      <c r="AB83" s="24" t="n">
        <f aca="false">SUM(P83:AA83)</f>
        <v>61368</v>
      </c>
      <c r="AC83" s="24" t="n">
        <f aca="false">O83+AB83</f>
        <v>253061</v>
      </c>
      <c r="AD83" s="24" t="n">
        <f aca="false">I83-AC83</f>
        <v>53759</v>
      </c>
      <c r="AE83" s="17" t="s">
        <v>124</v>
      </c>
      <c r="AF83" s="17" t="s">
        <v>125</v>
      </c>
      <c r="AG83" s="19" t="s">
        <v>126</v>
      </c>
      <c r="AH83" s="17" t="s">
        <v>127</v>
      </c>
      <c r="AI83" s="16" t="s">
        <v>549</v>
      </c>
      <c r="AJ83" s="17" t="s">
        <v>138</v>
      </c>
      <c r="AK83" s="16" t="s">
        <v>139</v>
      </c>
      <c r="AL83" s="18" t="s">
        <v>86</v>
      </c>
      <c r="AM83" s="17" t="s">
        <v>138</v>
      </c>
      <c r="AN83" s="20" t="n">
        <v>46393</v>
      </c>
      <c r="AO83" s="20" t="n">
        <v>45751</v>
      </c>
      <c r="AP83" s="20" t="n">
        <v>46088</v>
      </c>
      <c r="AQ83" s="18" t="s">
        <v>87</v>
      </c>
      <c r="AR83" s="21"/>
      <c r="AS83" s="21"/>
      <c r="AT83" s="21"/>
      <c r="AU83" s="16" t="s">
        <v>550</v>
      </c>
      <c r="AV83" s="16" t="s">
        <v>551</v>
      </c>
      <c r="AW83" s="19" t="s">
        <v>142</v>
      </c>
      <c r="AX83" s="18" t="s">
        <v>108</v>
      </c>
      <c r="AY83" s="18" t="s">
        <v>92</v>
      </c>
      <c r="AZ83" s="20" t="n">
        <v>45956</v>
      </c>
      <c r="BA83" s="17" t="s">
        <v>109</v>
      </c>
      <c r="BB83" s="18" t="s">
        <v>87</v>
      </c>
      <c r="BC83" s="20"/>
      <c r="BD83" s="20"/>
      <c r="BE83" s="21"/>
      <c r="BF83" s="20"/>
      <c r="BG83" s="21"/>
      <c r="BH83" s="21"/>
      <c r="BI83" s="17" t="s">
        <v>110</v>
      </c>
    </row>
    <row r="85" customFormat="false" ht="15" hidden="false" customHeight="true" outlineLevel="0" collapsed="false">
      <c r="A85" s="25"/>
      <c r="B85" s="26" t="s">
        <v>552</v>
      </c>
      <c r="C85" s="25"/>
      <c r="D85" s="25"/>
      <c r="E85" s="25"/>
      <c r="F85" s="25"/>
      <c r="G85" s="25"/>
      <c r="H85" s="25"/>
      <c r="I85" s="27" t="n">
        <f aca="false">SUM(I4:I83)</f>
        <v>8553993</v>
      </c>
      <c r="J85" s="25"/>
      <c r="K85" s="25"/>
      <c r="L85" s="25"/>
      <c r="M85" s="25"/>
      <c r="N85" s="27" t="n">
        <f aca="false">SUM(N4:N83)</f>
        <v>3486621</v>
      </c>
      <c r="O85" s="27" t="n">
        <f aca="false">SUM(O4:O83)</f>
        <v>5067372</v>
      </c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7" t="n">
        <f aca="false">SUM(AB4:AB83)</f>
        <v>1633404</v>
      </c>
      <c r="AC85" s="27" t="n">
        <f aca="false">SUM(AC4:AC83)</f>
        <v>6700776</v>
      </c>
      <c r="AD85" s="27" t="n">
        <f aca="false">SUM(AD4:AD83)</f>
        <v>1853217</v>
      </c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7" t="n">
        <f aca="false">SUM(AS4:AS83)</f>
        <v>12203</v>
      </c>
      <c r="AT85" s="25"/>
      <c r="AU85" s="25"/>
      <c r="AV85" s="25"/>
      <c r="AW85" s="25"/>
      <c r="AX85" s="25"/>
      <c r="AY85" s="25"/>
      <c r="AZ85" s="25"/>
      <c r="BA85" s="25"/>
      <c r="BB85" s="25"/>
      <c r="BC85" s="25"/>
      <c r="BD85" s="25"/>
      <c r="BE85" s="25"/>
      <c r="BF85" s="25"/>
      <c r="BG85" s="27" t="n">
        <f aca="false">SUM(BG4:BG83)</f>
        <v>14195</v>
      </c>
      <c r="BH85" s="27" t="n">
        <f aca="false">SUM(BH4:BH83)</f>
        <v>-916</v>
      </c>
      <c r="BI85" s="25"/>
    </row>
  </sheetData>
  <autoFilter ref="A3:BI83"/>
  <mergeCells count="11">
    <mergeCell ref="A1:H1"/>
    <mergeCell ref="A2:F2"/>
    <mergeCell ref="G2:M2"/>
    <mergeCell ref="N2:O2"/>
    <mergeCell ref="P2:AA2"/>
    <mergeCell ref="AB2:AD2"/>
    <mergeCell ref="AE2:AI2"/>
    <mergeCell ref="AJ2:AP2"/>
    <mergeCell ref="AQ2:AT2"/>
    <mergeCell ref="AU2:BA2"/>
    <mergeCell ref="BB2:BH2"/>
  </mergeCells>
  <conditionalFormatting sqref="AY4:AY83">
    <cfRule type="expression" priority="2" aboveAverage="0" equalAverage="0" bottom="0" percent="0" rank="0" text="" dxfId="9">
      <formula>EXACT($AY4,"休止")</formula>
    </cfRule>
    <cfRule type="expression" priority="3" aboveAverage="0" equalAverage="0" bottom="0" percent="0" rank="0" text="" dxfId="10">
      <formula>EXACT($AY4,"除却済")</formula>
    </cfRule>
    <cfRule type="expression" priority="4" aboveAverage="0" equalAverage="0" bottom="0" percent="0" rank="0" text="" dxfId="11">
      <formula>EXACT($AY4,"売却済")</formula>
    </cfRule>
  </conditionalFormatting>
  <conditionalFormatting sqref="A4:BI83">
    <cfRule type="expression" priority="5" aboveAverage="0" equalAverage="0" bottom="0" percent="0" rank="0" text="" dxfId="12">
      <formula>EXACT($AQ4,"有")</formula>
    </cfRule>
  </conditionalFormatting>
  <printOptions headings="false" gridLines="false" gridLinesSet="true" horizontalCentered="tru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2026-05-04T13:59:31Z</dcterms:created>
  <dc:creator>openpyxl</dc:creator>
  <dc:description/>
  <dc:language>en-US</dc:language>
  <cp:lastModifiedBy/>
  <dcterms:modified xsi:type="dcterms:W3CDTF">2026-05-05T12:29:37Z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