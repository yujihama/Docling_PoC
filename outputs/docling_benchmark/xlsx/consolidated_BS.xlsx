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連結BS" sheetId="1" state="visible" r:id="rId3"/>
  </sheets>
  <definedNames>
    <definedName function="false" hidden="false" localSheetId="0" name="_xlnm.Print_Titles" vbProcedure="false">連結BS!$2:$4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<sst xmlns="http://schemas.openxmlformats.org/spreadsheetml/2006/main" count="97" uniqueCount="69">
  <si>
    <t xml:space="preserve">連結貸借対照表</t>
  </si>
  <si>
    <t xml:space="preserve">期間: 当期=FY2025 9月末, 前期=FY2025 3月末 (単位: 千円, 比率は%)</t>
  </si>
  <si>
    <t xml:space="preserve">階層</t>
  </si>
  <si>
    <t xml:space="preserve">項目</t>
  </si>
  <si>
    <t xml:space="preserve">注記</t>
  </si>
  <si>
    <t xml:space="preserve">国内親会社</t>
  </si>
  <si>
    <t xml:space="preserve">国内連結子会社</t>
  </si>
  <si>
    <t xml:space="preserve">海外連結子会社</t>
  </si>
  <si>
    <t xml:space="preserve">連結集計</t>
  </si>
  <si>
    <t xml:space="preserve">親会社</t>
  </si>
  <si>
    <t xml:space="preserve">子会社A</t>
  </si>
  <si>
    <t xml:space="preserve">子会社B</t>
  </si>
  <si>
    <t xml:space="preserve">子会社C</t>
  </si>
  <si>
    <t xml:space="preserve">子会社D</t>
  </si>
  <si>
    <t xml:space="preserve">単純合算</t>
  </si>
  <si>
    <t xml:space="preserve">連結消去</t>
  </si>
  <si>
    <t xml:space="preserve">連結</t>
  </si>
  <si>
    <t xml:space="preserve">当期</t>
  </si>
  <si>
    <t xml:space="preserve">前期</t>
  </si>
  <si>
    <t xml:space="preserve">増減</t>
  </si>
  <si>
    <t xml:space="preserve">増減率</t>
  </si>
  <si>
    <t xml:space="preserve">資産の部</t>
  </si>
  <si>
    <t xml:space="preserve">Ⅰ 流動資産</t>
  </si>
  <si>
    <t xml:space="preserve">  現金及び預金</t>
  </si>
  <si>
    <t xml:space="preserve">  受取手形及び売掛金</t>
  </si>
  <si>
    <t xml:space="preserve">  電子記録債権</t>
  </si>
  <si>
    <t xml:space="preserve">  棚卸資産</t>
  </si>
  <si>
    <t xml:space="preserve">  前払費用</t>
  </si>
  <si>
    <t xml:space="preserve">  繰延税金資産</t>
  </si>
  <si>
    <t xml:space="preserve">  貸倒引当金</t>
  </si>
  <si>
    <t xml:space="preserve">流動資産合計</t>
  </si>
  <si>
    <t xml:space="preserve">Ⅱ 固定資産</t>
  </si>
  <si>
    <t xml:space="preserve">  建物及び構築物</t>
  </si>
  <si>
    <t xml:space="preserve">  機械装置及び運搬具</t>
  </si>
  <si>
    <t xml:space="preserve">  工具器具備品</t>
  </si>
  <si>
    <t xml:space="preserve">  土地</t>
  </si>
  <si>
    <t xml:space="preserve">  建設仮勘定</t>
  </si>
  <si>
    <t xml:space="preserve">  ソフトウェア</t>
  </si>
  <si>
    <t xml:space="preserve">  のれん</t>
  </si>
  <si>
    <t xml:space="preserve">  投資有価証券</t>
  </si>
  <si>
    <t xml:space="preserve">  関係会社株式</t>
  </si>
  <si>
    <t xml:space="preserve">  繰延税金資産（固定）</t>
  </si>
  <si>
    <t xml:space="preserve">固定資産合計</t>
  </si>
  <si>
    <t xml:space="preserve">資産合計</t>
  </si>
  <si>
    <t xml:space="preserve">負債の部</t>
  </si>
  <si>
    <t xml:space="preserve">Ⅰ 流動負債</t>
  </si>
  <si>
    <t xml:space="preserve">  支払手形及び買掛金</t>
  </si>
  <si>
    <t xml:space="preserve">  短期借入金</t>
  </si>
  <si>
    <t xml:space="preserve">  未払金</t>
  </si>
  <si>
    <t xml:space="preserve">  未払法人税等</t>
  </si>
  <si>
    <t xml:space="preserve">  賞与引当金</t>
  </si>
  <si>
    <t xml:space="preserve">  その他流動負債</t>
  </si>
  <si>
    <t xml:space="preserve">流動負債合計</t>
  </si>
  <si>
    <t xml:space="preserve">Ⅱ 固定負債</t>
  </si>
  <si>
    <t xml:space="preserve">  長期借入金</t>
  </si>
  <si>
    <t xml:space="preserve">  退職給付に係る負債</t>
  </si>
  <si>
    <t xml:space="preserve">  資産除去債務</t>
  </si>
  <si>
    <t xml:space="preserve">固定負債合計</t>
  </si>
  <si>
    <t xml:space="preserve">負債合計</t>
  </si>
  <si>
    <t xml:space="preserve">純資産の部</t>
  </si>
  <si>
    <t xml:space="preserve">  資本金</t>
  </si>
  <si>
    <t xml:space="preserve">  資本剰余金</t>
  </si>
  <si>
    <t xml:space="preserve">  利益剰余金</t>
  </si>
  <si>
    <t xml:space="preserve">  自己株式</t>
  </si>
  <si>
    <t xml:space="preserve">  その他の包括利益累計額</t>
  </si>
  <si>
    <t xml:space="preserve">  非支配株主持分</t>
  </si>
  <si>
    <t xml:space="preserve">純資産合計</t>
  </si>
  <si>
    <t xml:space="preserve">負債純資産合計</t>
  </si>
  <si>
    <t xml:space="preserve">検証: 資産合計 − 負債純資産合計（連結）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</si>
</sst>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A6A6A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9"/>
      <color rgb="FF000000"/>
      <name val="Arial"/>
      <family val="0"/>
      <charset val="1"/>
    </font>
    <font>
      <b val="true"/>
      <i val="true"/>
      <sz val="10"/>
      <color rgb="FFC00000"/>
      <name val="Noto Sans CJK SC"/>
      <family val="2"/>
      <charset val="1"/>
    </font>
    <font>
      <b val="true"/>
      <sz val="10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9DC3E6"/>
        <bgColor rgb="FFC0C0C0"/>
      </patternFill>
    </fill>
    <fill>
      <patternFill patternType="solid">
        <fgColor rgb="FFBF8F00"/>
        <bgColor rgb="FFED7D31"/>
      </patternFill>
    </fill>
    <fill>
      <patternFill patternType="solid">
        <fgColor rgb="FF375623"/>
        <bgColor rgb="FF595959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339966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595959"/>
      <rgbColor rgb="FFA6A6A6"/>
      <rgbColor rgb="FF1F4E78"/>
      <rgbColor rgb="FF339966"/>
      <rgbColor rgb="FF003300"/>
      <rgbColor rgb="FF375623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6"/>
    <col collapsed="false" customWidth="true" hidden="false" outlineLevel="0" max="35" min="4" style="1" width="13"/>
  </cols>
  <sheetData>
    <row r="1" customFormat="false" ht="13.5" hidden="false" customHeight="true" outlineLevel="0" collapsed="false">
      <c r="A1" s="2" t="s">
        <v>0</v>
      </c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customFormat="false" ht="18" hidden="false" customHeight="tru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5"/>
      <c r="F2" s="5"/>
      <c r="G2" s="5"/>
      <c r="H2" s="5" t="s">
        <v>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">
        <v>7</v>
      </c>
      <c r="U2" s="5"/>
      <c r="V2" s="5"/>
      <c r="W2" s="5"/>
      <c r="X2" s="5" t="s">
        <v>8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customFormat="false" ht="18" hidden="false" customHeight="true" outlineLevel="0" collapsed="false">
      <c r="A3" s="4"/>
      <c r="B3" s="4"/>
      <c r="C3" s="4"/>
      <c r="D3" s="6" t="s">
        <v>9</v>
      </c>
      <c r="E3" s="6"/>
      <c r="F3" s="6"/>
      <c r="G3" s="6"/>
      <c r="H3" s="6" t="s">
        <v>10</v>
      </c>
      <c r="I3" s="6"/>
      <c r="J3" s="6"/>
      <c r="K3" s="6"/>
      <c r="L3" s="6" t="s">
        <v>11</v>
      </c>
      <c r="M3" s="6"/>
      <c r="N3" s="6"/>
      <c r="O3" s="6"/>
      <c r="P3" s="6" t="s">
        <v>12</v>
      </c>
      <c r="Q3" s="6"/>
      <c r="R3" s="6"/>
      <c r="S3" s="6"/>
      <c r="T3" s="6" t="s">
        <v>13</v>
      </c>
      <c r="U3" s="6"/>
      <c r="V3" s="6"/>
      <c r="W3" s="6"/>
      <c r="X3" s="7" t="s">
        <v>14</v>
      </c>
      <c r="Y3" s="7"/>
      <c r="Z3" s="7"/>
      <c r="AA3" s="7"/>
      <c r="AB3" s="8" t="s">
        <v>15</v>
      </c>
      <c r="AC3" s="8"/>
      <c r="AD3" s="8"/>
      <c r="AE3" s="8"/>
      <c r="AF3" s="9" t="s">
        <v>16</v>
      </c>
      <c r="AG3" s="9"/>
      <c r="AH3" s="9"/>
      <c r="AI3" s="9"/>
    </row>
    <row r="4" customFormat="false" ht="15.75" hidden="false" customHeight="true" outlineLevel="0" collapsed="false">
      <c r="A4" s="4"/>
      <c r="B4" s="4"/>
      <c r="C4" s="4"/>
      <c r="D4" s="10" t="s">
        <v>17</v>
      </c>
      <c r="E4" s="10" t="s">
        <v>18</v>
      </c>
      <c r="F4" s="10" t="s">
        <v>19</v>
      </c>
      <c r="G4" s="10" t="s">
        <v>20</v>
      </c>
      <c r="H4" s="10" t="s">
        <v>17</v>
      </c>
      <c r="I4" s="10" t="s">
        <v>18</v>
      </c>
      <c r="J4" s="10" t="s">
        <v>19</v>
      </c>
      <c r="K4" s="10" t="s">
        <v>20</v>
      </c>
      <c r="L4" s="10" t="s">
        <v>17</v>
      </c>
      <c r="M4" s="10" t="s">
        <v>18</v>
      </c>
      <c r="N4" s="10" t="s">
        <v>19</v>
      </c>
      <c r="O4" s="10" t="s">
        <v>20</v>
      </c>
      <c r="P4" s="10" t="s">
        <v>17</v>
      </c>
      <c r="Q4" s="10" t="s">
        <v>18</v>
      </c>
      <c r="R4" s="10" t="s">
        <v>19</v>
      </c>
      <c r="S4" s="10" t="s">
        <v>20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17</v>
      </c>
      <c r="Y4" s="10" t="s">
        <v>18</v>
      </c>
      <c r="Z4" s="10" t="s">
        <v>19</v>
      </c>
      <c r="AA4" s="10" t="s">
        <v>20</v>
      </c>
      <c r="AB4" s="11" t="s">
        <v>17</v>
      </c>
      <c r="AC4" s="11" t="s">
        <v>18</v>
      </c>
      <c r="AD4" s="11" t="s">
        <v>19</v>
      </c>
      <c r="AE4" s="11" t="s">
        <v>20</v>
      </c>
      <c r="AF4" s="12" t="s">
        <v>17</v>
      </c>
      <c r="AG4" s="12" t="s">
        <v>18</v>
      </c>
      <c r="AH4" s="12" t="s">
        <v>19</v>
      </c>
      <c r="AI4" s="12" t="s">
        <v>20</v>
      </c>
    </row>
    <row r="5" customFormat="false" ht="15" hidden="false" customHeight="true" outlineLevel="0" collapsed="false">
      <c r="A5" s="13"/>
      <c r="B5" s="14" t="s">
        <v>21</v>
      </c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5" hidden="false" customHeight="true" outlineLevel="0" collapsed="false">
      <c r="A6" s="13"/>
      <c r="B6" s="14" t="s">
        <v>22</v>
      </c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5" hidden="false" customHeight="true" outlineLevel="0" collapsed="false">
      <c r="A7" s="16" t="n">
        <v>1</v>
      </c>
      <c r="B7" s="17" t="s">
        <v>23</v>
      </c>
      <c r="C7" s="17"/>
      <c r="D7" s="18" t="n">
        <v>5840000</v>
      </c>
      <c r="E7" s="18" t="n">
        <v>5120000</v>
      </c>
      <c r="F7" s="19" t="n">
        <f aca="false">D7-E7</f>
        <v>720000</v>
      </c>
      <c r="G7" s="20" t="n">
        <f aca="false">IFERROR((D7-E7)/ABS(E7),0)</f>
        <v>0.140625</v>
      </c>
      <c r="H7" s="18" t="n">
        <v>1820000</v>
      </c>
      <c r="I7" s="18" t="n">
        <v>1640000</v>
      </c>
      <c r="J7" s="19" t="n">
        <f aca="false">H7-I7</f>
        <v>180000</v>
      </c>
      <c r="K7" s="20" t="n">
        <f aca="false">IFERROR((H7-I7)/ABS(I7),0)</f>
        <v>0.109756097560976</v>
      </c>
      <c r="L7" s="18" t="n">
        <v>1120000</v>
      </c>
      <c r="M7" s="18" t="n">
        <v>1050000</v>
      </c>
      <c r="N7" s="19" t="n">
        <f aca="false">L7-M7</f>
        <v>70000</v>
      </c>
      <c r="O7" s="20" t="n">
        <f aca="false">IFERROR((L7-M7)/ABS(M7),0)</f>
        <v>0.0666666666666667</v>
      </c>
      <c r="P7" s="18" t="n">
        <v>480000</v>
      </c>
      <c r="Q7" s="18" t="n">
        <v>420000</v>
      </c>
      <c r="R7" s="19" t="n">
        <f aca="false">P7-Q7</f>
        <v>60000</v>
      </c>
      <c r="S7" s="20" t="n">
        <f aca="false">IFERROR((P7-Q7)/ABS(Q7),0)</f>
        <v>0.142857142857143</v>
      </c>
      <c r="T7" s="18" t="n">
        <v>1650000</v>
      </c>
      <c r="U7" s="18" t="n">
        <v>1510000</v>
      </c>
      <c r="V7" s="19" t="n">
        <f aca="false">T7-U7</f>
        <v>140000</v>
      </c>
      <c r="W7" s="20" t="n">
        <f aca="false">IFERROR((T7-U7)/ABS(U7),0)</f>
        <v>0.0927152317880795</v>
      </c>
      <c r="X7" s="19" t="n">
        <f aca="false">D7+H7+L7+P7+T7</f>
        <v>10910000</v>
      </c>
      <c r="Y7" s="19" t="n">
        <f aca="false">E7+I7+M7+Q7+U7</f>
        <v>9740000</v>
      </c>
      <c r="Z7" s="19" t="n">
        <f aca="false">X7-Y7</f>
        <v>1170000</v>
      </c>
      <c r="AA7" s="20" t="n">
        <f aca="false">IFERROR((X7-Y7)/ABS(Y7),0)</f>
        <v>0.120123203285421</v>
      </c>
      <c r="AB7" s="18" t="n">
        <v>0</v>
      </c>
      <c r="AC7" s="18" t="n">
        <v>0</v>
      </c>
      <c r="AD7" s="19" t="n">
        <f aca="false">AB7-AC7</f>
        <v>0</v>
      </c>
      <c r="AE7" s="20" t="n">
        <f aca="false">IFERROR((AB7-AC7)/ABS(AC7),0)</f>
        <v>0</v>
      </c>
      <c r="AF7" s="19" t="n">
        <f aca="false">X7+AB7</f>
        <v>10910000</v>
      </c>
      <c r="AG7" s="19" t="n">
        <f aca="false">Y7+AC7</f>
        <v>9740000</v>
      </c>
      <c r="AH7" s="19" t="n">
        <f aca="false">AF7-AG7</f>
        <v>1170000</v>
      </c>
      <c r="AI7" s="20" t="n">
        <f aca="false">IFERROR((AF7-AG7)/ABS(AG7),0)</f>
        <v>0.120123203285421</v>
      </c>
    </row>
    <row r="8" customFormat="false" ht="15" hidden="false" customHeight="true" outlineLevel="0" collapsed="false">
      <c r="A8" s="16" t="n">
        <v>1</v>
      </c>
      <c r="B8" s="17" t="s">
        <v>24</v>
      </c>
      <c r="C8" s="17"/>
      <c r="D8" s="18" t="n">
        <v>8960000</v>
      </c>
      <c r="E8" s="18" t="n">
        <v>8240000</v>
      </c>
      <c r="F8" s="19" t="n">
        <f aca="false">D8-E8</f>
        <v>720000</v>
      </c>
      <c r="G8" s="20" t="n">
        <f aca="false">IFERROR((D8-E8)/ABS(E8),0)</f>
        <v>0.087378640776699</v>
      </c>
      <c r="H8" s="18" t="n">
        <v>2840000</v>
      </c>
      <c r="I8" s="18" t="n">
        <v>2580000</v>
      </c>
      <c r="J8" s="19" t="n">
        <f aca="false">H8-I8</f>
        <v>260000</v>
      </c>
      <c r="K8" s="20" t="n">
        <f aca="false">IFERROR((H8-I8)/ABS(I8),0)</f>
        <v>0.10077519379845</v>
      </c>
      <c r="L8" s="18" t="n">
        <v>1780000</v>
      </c>
      <c r="M8" s="18" t="n">
        <v>1690000</v>
      </c>
      <c r="N8" s="19" t="n">
        <f aca="false">L8-M8</f>
        <v>90000</v>
      </c>
      <c r="O8" s="20" t="n">
        <f aca="false">IFERROR((L8-M8)/ABS(M8),0)</f>
        <v>0.0532544378698225</v>
      </c>
      <c r="P8" s="18" t="n">
        <v>720000</v>
      </c>
      <c r="Q8" s="18" t="n">
        <v>680000</v>
      </c>
      <c r="R8" s="19" t="n">
        <f aca="false">P8-Q8</f>
        <v>40000</v>
      </c>
      <c r="S8" s="20" t="n">
        <f aca="false">IFERROR((P8-Q8)/ABS(Q8),0)</f>
        <v>0.0588235294117647</v>
      </c>
      <c r="T8" s="18" t="n">
        <v>1580000</v>
      </c>
      <c r="U8" s="18" t="n">
        <v>1420000</v>
      </c>
      <c r="V8" s="19" t="n">
        <f aca="false">T8-U8</f>
        <v>160000</v>
      </c>
      <c r="W8" s="20" t="n">
        <f aca="false">IFERROR((T8-U8)/ABS(U8),0)</f>
        <v>0.112676056338028</v>
      </c>
      <c r="X8" s="19" t="n">
        <f aca="false">D8+H8+L8+P8+T8</f>
        <v>15880000</v>
      </c>
      <c r="Y8" s="19" t="n">
        <f aca="false">E8+I8+M8+Q8+U8</f>
        <v>14610000</v>
      </c>
      <c r="Z8" s="19" t="n">
        <f aca="false">X8-Y8</f>
        <v>1270000</v>
      </c>
      <c r="AA8" s="20" t="n">
        <f aca="false">IFERROR((X8-Y8)/ABS(Y8),0)</f>
        <v>0.0869267624914442</v>
      </c>
      <c r="AB8" s="18" t="n">
        <v>-680000</v>
      </c>
      <c r="AC8" s="18" t="n">
        <v>-610000</v>
      </c>
      <c r="AD8" s="19" t="n">
        <f aca="false">AB8-AC8</f>
        <v>-70000</v>
      </c>
      <c r="AE8" s="20" t="n">
        <f aca="false">IFERROR((AB8-AC8)/ABS(AC8),0)</f>
        <v>-0.114754098360656</v>
      </c>
      <c r="AF8" s="19" t="n">
        <f aca="false">X8+AB8</f>
        <v>15200000</v>
      </c>
      <c r="AG8" s="19" t="n">
        <f aca="false">Y8+AC8</f>
        <v>14000000</v>
      </c>
      <c r="AH8" s="19" t="n">
        <f aca="false">AF8-AG8</f>
        <v>1200000</v>
      </c>
      <c r="AI8" s="20" t="n">
        <f aca="false">IFERROR((AF8-AG8)/ABS(AG8),0)</f>
        <v>0.0857142857142857</v>
      </c>
    </row>
    <row r="9" customFormat="false" ht="15" hidden="false" customHeight="true" outlineLevel="0" collapsed="false">
      <c r="A9" s="16" t="n">
        <v>1</v>
      </c>
      <c r="B9" s="17" t="s">
        <v>25</v>
      </c>
      <c r="C9" s="17"/>
      <c r="D9" s="18" t="n">
        <v>1840000</v>
      </c>
      <c r="E9" s="18" t="n">
        <v>1620000</v>
      </c>
      <c r="F9" s="19" t="n">
        <f aca="false">D9-E9</f>
        <v>220000</v>
      </c>
      <c r="G9" s="20" t="n">
        <f aca="false">IFERROR((D9-E9)/ABS(E9),0)</f>
        <v>0.135802469135802</v>
      </c>
      <c r="H9" s="18" t="n">
        <v>540000</v>
      </c>
      <c r="I9" s="18" t="n">
        <v>480000</v>
      </c>
      <c r="J9" s="19" t="n">
        <f aca="false">H9-I9</f>
        <v>60000</v>
      </c>
      <c r="K9" s="20" t="n">
        <f aca="false">IFERROR((H9-I9)/ABS(I9),0)</f>
        <v>0.125</v>
      </c>
      <c r="L9" s="18" t="n">
        <v>320000</v>
      </c>
      <c r="M9" s="18" t="n">
        <v>290000</v>
      </c>
      <c r="N9" s="19" t="n">
        <f aca="false">L9-M9</f>
        <v>30000</v>
      </c>
      <c r="O9" s="20" t="n">
        <f aca="false">IFERROR((L9-M9)/ABS(M9),0)</f>
        <v>0.103448275862069</v>
      </c>
      <c r="P9" s="18" t="n">
        <v>110000</v>
      </c>
      <c r="Q9" s="18" t="n">
        <v>95000</v>
      </c>
      <c r="R9" s="19" t="n">
        <f aca="false">P9-Q9</f>
        <v>15000</v>
      </c>
      <c r="S9" s="20" t="n">
        <f aca="false">IFERROR((P9-Q9)/ABS(Q9),0)</f>
        <v>0.157894736842105</v>
      </c>
      <c r="T9" s="18" t="n">
        <v>0</v>
      </c>
      <c r="U9" s="18" t="n">
        <v>0</v>
      </c>
      <c r="V9" s="19" t="n">
        <f aca="false">T9-U9</f>
        <v>0</v>
      </c>
      <c r="W9" s="20" t="n">
        <f aca="false">IFERROR((T9-U9)/ABS(U9),0)</f>
        <v>0</v>
      </c>
      <c r="X9" s="19" t="n">
        <f aca="false">D9+H9+L9+P9+T9</f>
        <v>2810000</v>
      </c>
      <c r="Y9" s="19" t="n">
        <f aca="false">E9+I9+M9+Q9+U9</f>
        <v>2485000</v>
      </c>
      <c r="Z9" s="19" t="n">
        <f aca="false">X9-Y9</f>
        <v>325000</v>
      </c>
      <c r="AA9" s="20" t="n">
        <f aca="false">IFERROR((X9-Y9)/ABS(Y9),0)</f>
        <v>0.130784708249497</v>
      </c>
      <c r="AB9" s="18" t="n">
        <v>-85000</v>
      </c>
      <c r="AC9" s="18" t="n">
        <v>-72000</v>
      </c>
      <c r="AD9" s="19" t="n">
        <f aca="false">AB9-AC9</f>
        <v>-13000</v>
      </c>
      <c r="AE9" s="20" t="n">
        <f aca="false">IFERROR((AB9-AC9)/ABS(AC9),0)</f>
        <v>-0.180555555555556</v>
      </c>
      <c r="AF9" s="19" t="n">
        <f aca="false">X9+AB9</f>
        <v>2725000</v>
      </c>
      <c r="AG9" s="19" t="n">
        <f aca="false">Y9+AC9</f>
        <v>2413000</v>
      </c>
      <c r="AH9" s="19" t="n">
        <f aca="false">AF9-AG9</f>
        <v>312000</v>
      </c>
      <c r="AI9" s="20" t="n">
        <f aca="false">IFERROR((AF9-AG9)/ABS(AG9),0)</f>
        <v>0.129299627020307</v>
      </c>
    </row>
    <row r="10" customFormat="false" ht="15" hidden="false" customHeight="true" outlineLevel="0" collapsed="false">
      <c r="A10" s="16" t="n">
        <v>1</v>
      </c>
      <c r="B10" s="17" t="s">
        <v>26</v>
      </c>
      <c r="C10" s="17"/>
      <c r="D10" s="18" t="n">
        <v>4280000</v>
      </c>
      <c r="E10" s="18" t="n">
        <v>3840000</v>
      </c>
      <c r="F10" s="19" t="n">
        <f aca="false">D10-E10</f>
        <v>440000</v>
      </c>
      <c r="G10" s="20" t="n">
        <f aca="false">IFERROR((D10-E10)/ABS(E10),0)</f>
        <v>0.114583333333333</v>
      </c>
      <c r="H10" s="18" t="n">
        <v>1620000</v>
      </c>
      <c r="I10" s="18" t="n">
        <v>1480000</v>
      </c>
      <c r="J10" s="19" t="n">
        <f aca="false">H10-I10</f>
        <v>140000</v>
      </c>
      <c r="K10" s="20" t="n">
        <f aca="false">IFERROR((H10-I10)/ABS(I10),0)</f>
        <v>0.0945945945945946</v>
      </c>
      <c r="L10" s="18" t="n">
        <v>980000</v>
      </c>
      <c r="M10" s="18" t="n">
        <v>920000</v>
      </c>
      <c r="N10" s="19" t="n">
        <f aca="false">L10-M10</f>
        <v>60000</v>
      </c>
      <c r="O10" s="20" t="n">
        <f aca="false">IFERROR((L10-M10)/ABS(M10),0)</f>
        <v>0.0652173913043478</v>
      </c>
      <c r="P10" s="18" t="n">
        <v>380000</v>
      </c>
      <c r="Q10" s="18" t="n">
        <v>350000</v>
      </c>
      <c r="R10" s="19" t="n">
        <f aca="false">P10-Q10</f>
        <v>30000</v>
      </c>
      <c r="S10" s="20" t="n">
        <f aca="false">IFERROR((P10-Q10)/ABS(Q10),0)</f>
        <v>0.0857142857142857</v>
      </c>
      <c r="T10" s="18" t="n">
        <v>1180000</v>
      </c>
      <c r="U10" s="18" t="n">
        <v>1050000</v>
      </c>
      <c r="V10" s="19" t="n">
        <f aca="false">T10-U10</f>
        <v>130000</v>
      </c>
      <c r="W10" s="20" t="n">
        <f aca="false">IFERROR((T10-U10)/ABS(U10),0)</f>
        <v>0.123809523809524</v>
      </c>
      <c r="X10" s="19" t="n">
        <f aca="false">D10+H10+L10+P10+T10</f>
        <v>8440000</v>
      </c>
      <c r="Y10" s="19" t="n">
        <f aca="false">E10+I10+M10+Q10+U10</f>
        <v>7640000</v>
      </c>
      <c r="Z10" s="19" t="n">
        <f aca="false">X10-Y10</f>
        <v>800000</v>
      </c>
      <c r="AA10" s="20" t="n">
        <f aca="false">IFERROR((X10-Y10)/ABS(Y10),0)</f>
        <v>0.104712041884817</v>
      </c>
      <c r="AB10" s="18" t="n">
        <v>-45000</v>
      </c>
      <c r="AC10" s="18" t="n">
        <v>-38000</v>
      </c>
      <c r="AD10" s="19" t="n">
        <f aca="false">AB10-AC10</f>
        <v>-7000</v>
      </c>
      <c r="AE10" s="20" t="n">
        <f aca="false">IFERROR((AB10-AC10)/ABS(AC10),0)</f>
        <v>-0.184210526315789</v>
      </c>
      <c r="AF10" s="19" t="n">
        <f aca="false">X10+AB10</f>
        <v>8395000</v>
      </c>
      <c r="AG10" s="19" t="n">
        <f aca="false">Y10+AC10</f>
        <v>7602000</v>
      </c>
      <c r="AH10" s="19" t="n">
        <f aca="false">AF10-AG10</f>
        <v>793000</v>
      </c>
      <c r="AI10" s="20" t="n">
        <f aca="false">IFERROR((AF10-AG10)/ABS(AG10),0)</f>
        <v>0.104314654038411</v>
      </c>
    </row>
    <row r="11" customFormat="false" ht="15" hidden="false" customHeight="true" outlineLevel="0" collapsed="false">
      <c r="A11" s="16" t="n">
        <v>1</v>
      </c>
      <c r="B11" s="17" t="s">
        <v>27</v>
      </c>
      <c r="C11" s="17"/>
      <c r="D11" s="18" t="n">
        <v>320000</v>
      </c>
      <c r="E11" s="18" t="n">
        <v>290000</v>
      </c>
      <c r="F11" s="19" t="n">
        <f aca="false">D11-E11</f>
        <v>30000</v>
      </c>
      <c r="G11" s="20" t="n">
        <f aca="false">IFERROR((D11-E11)/ABS(E11),0)</f>
        <v>0.103448275862069</v>
      </c>
      <c r="H11" s="18" t="n">
        <v>88000</v>
      </c>
      <c r="I11" s="18" t="n">
        <v>80000</v>
      </c>
      <c r="J11" s="19" t="n">
        <f aca="false">H11-I11</f>
        <v>8000</v>
      </c>
      <c r="K11" s="20" t="n">
        <f aca="false">IFERROR((H11-I11)/ABS(I11),0)</f>
        <v>0.1</v>
      </c>
      <c r="L11" s="18" t="n">
        <v>52000</v>
      </c>
      <c r="M11" s="18" t="n">
        <v>48000</v>
      </c>
      <c r="N11" s="19" t="n">
        <f aca="false">L11-M11</f>
        <v>4000</v>
      </c>
      <c r="O11" s="20" t="n">
        <f aca="false">IFERROR((L11-M11)/ABS(M11),0)</f>
        <v>0.0833333333333333</v>
      </c>
      <c r="P11" s="18" t="n">
        <v>18000</v>
      </c>
      <c r="Q11" s="18" t="n">
        <v>16000</v>
      </c>
      <c r="R11" s="19" t="n">
        <f aca="false">P11-Q11</f>
        <v>2000</v>
      </c>
      <c r="S11" s="20" t="n">
        <f aca="false">IFERROR((P11-Q11)/ABS(Q11),0)</f>
        <v>0.125</v>
      </c>
      <c r="T11" s="18" t="n">
        <v>65000</v>
      </c>
      <c r="U11" s="18" t="n">
        <v>60000</v>
      </c>
      <c r="V11" s="19" t="n">
        <f aca="false">T11-U11</f>
        <v>5000</v>
      </c>
      <c r="W11" s="20" t="n">
        <f aca="false">IFERROR((T11-U11)/ABS(U11),0)</f>
        <v>0.0833333333333333</v>
      </c>
      <c r="X11" s="19" t="n">
        <f aca="false">D11+H11+L11+P11+T11</f>
        <v>543000</v>
      </c>
      <c r="Y11" s="19" t="n">
        <f aca="false">E11+I11+M11+Q11+U11</f>
        <v>494000</v>
      </c>
      <c r="Z11" s="19" t="n">
        <f aca="false">X11-Y11</f>
        <v>49000</v>
      </c>
      <c r="AA11" s="20" t="n">
        <f aca="false">IFERROR((X11-Y11)/ABS(Y11),0)</f>
        <v>0.0991902834008097</v>
      </c>
      <c r="AB11" s="18" t="n">
        <v>0</v>
      </c>
      <c r="AC11" s="18" t="n">
        <v>0</v>
      </c>
      <c r="AD11" s="19" t="n">
        <f aca="false">AB11-AC11</f>
        <v>0</v>
      </c>
      <c r="AE11" s="20" t="n">
        <f aca="false">IFERROR((AB11-AC11)/ABS(AC11),0)</f>
        <v>0</v>
      </c>
      <c r="AF11" s="19" t="n">
        <f aca="false">X11+AB11</f>
        <v>543000</v>
      </c>
      <c r="AG11" s="19" t="n">
        <f aca="false">Y11+AC11</f>
        <v>494000</v>
      </c>
      <c r="AH11" s="19" t="n">
        <f aca="false">AF11-AG11</f>
        <v>49000</v>
      </c>
      <c r="AI11" s="20" t="n">
        <f aca="false">IFERROR((AF11-AG11)/ABS(AG11),0)</f>
        <v>0.0991902834008097</v>
      </c>
    </row>
    <row r="12" customFormat="false" ht="15" hidden="false" customHeight="true" outlineLevel="0" collapsed="false">
      <c r="A12" s="16" t="n">
        <v>1</v>
      </c>
      <c r="B12" s="17" t="s">
        <v>28</v>
      </c>
      <c r="C12" s="17"/>
      <c r="D12" s="18" t="n">
        <v>480000</v>
      </c>
      <c r="E12" s="18" t="n">
        <v>432000</v>
      </c>
      <c r="F12" s="19" t="n">
        <f aca="false">D12-E12</f>
        <v>48000</v>
      </c>
      <c r="G12" s="20" t="n">
        <f aca="false">IFERROR((D12-E12)/ABS(E12),0)</f>
        <v>0.111111111111111</v>
      </c>
      <c r="H12" s="18" t="n">
        <v>142000</v>
      </c>
      <c r="I12" s="18" t="n">
        <v>128000</v>
      </c>
      <c r="J12" s="19" t="n">
        <f aca="false">H12-I12</f>
        <v>14000</v>
      </c>
      <c r="K12" s="20" t="n">
        <f aca="false">IFERROR((H12-I12)/ABS(I12),0)</f>
        <v>0.109375</v>
      </c>
      <c r="L12" s="18" t="n">
        <v>88000</v>
      </c>
      <c r="M12" s="18" t="n">
        <v>80000</v>
      </c>
      <c r="N12" s="19" t="n">
        <f aca="false">L12-M12</f>
        <v>8000</v>
      </c>
      <c r="O12" s="20" t="n">
        <f aca="false">IFERROR((L12-M12)/ABS(M12),0)</f>
        <v>0.1</v>
      </c>
      <c r="P12" s="18" t="n">
        <v>35000</v>
      </c>
      <c r="Q12" s="18" t="n">
        <v>32000</v>
      </c>
      <c r="R12" s="19" t="n">
        <f aca="false">P12-Q12</f>
        <v>3000</v>
      </c>
      <c r="S12" s="20" t="n">
        <f aca="false">IFERROR((P12-Q12)/ABS(Q12),0)</f>
        <v>0.09375</v>
      </c>
      <c r="T12" s="18" t="n">
        <v>0</v>
      </c>
      <c r="U12" s="18" t="n">
        <v>0</v>
      </c>
      <c r="V12" s="19" t="n">
        <f aca="false">T12-U12</f>
        <v>0</v>
      </c>
      <c r="W12" s="20" t="n">
        <f aca="false">IFERROR((T12-U12)/ABS(U12),0)</f>
        <v>0</v>
      </c>
      <c r="X12" s="19" t="n">
        <f aca="false">D12+H12+L12+P12+T12</f>
        <v>745000</v>
      </c>
      <c r="Y12" s="19" t="n">
        <f aca="false">E12+I12+M12+Q12+U12</f>
        <v>672000</v>
      </c>
      <c r="Z12" s="19" t="n">
        <f aca="false">X12-Y12</f>
        <v>73000</v>
      </c>
      <c r="AA12" s="20" t="n">
        <f aca="false">IFERROR((X12-Y12)/ABS(Y12),0)</f>
        <v>0.108630952380952</v>
      </c>
      <c r="AB12" s="18" t="n">
        <v>0</v>
      </c>
      <c r="AC12" s="18" t="n">
        <v>0</v>
      </c>
      <c r="AD12" s="19" t="n">
        <f aca="false">AB12-AC12</f>
        <v>0</v>
      </c>
      <c r="AE12" s="20" t="n">
        <f aca="false">IFERROR((AB12-AC12)/ABS(AC12),0)</f>
        <v>0</v>
      </c>
      <c r="AF12" s="19" t="n">
        <f aca="false">X12+AB12</f>
        <v>745000</v>
      </c>
      <c r="AG12" s="19" t="n">
        <f aca="false">Y12+AC12</f>
        <v>672000</v>
      </c>
      <c r="AH12" s="19" t="n">
        <f aca="false">AF12-AG12</f>
        <v>73000</v>
      </c>
      <c r="AI12" s="20" t="n">
        <f aca="false">IFERROR((AF12-AG12)/ABS(AG12),0)</f>
        <v>0.108630952380952</v>
      </c>
    </row>
    <row r="13" customFormat="false" ht="15" hidden="false" customHeight="true" outlineLevel="0" collapsed="false">
      <c r="A13" s="16" t="n">
        <v>1</v>
      </c>
      <c r="B13" s="17" t="s">
        <v>29</v>
      </c>
      <c r="C13" s="17"/>
      <c r="D13" s="18" t="n">
        <v>-180000</v>
      </c>
      <c r="E13" s="18" t="n">
        <v>-165000</v>
      </c>
      <c r="F13" s="19" t="n">
        <f aca="false">D13-E13</f>
        <v>-15000</v>
      </c>
      <c r="G13" s="20" t="n">
        <f aca="false">IFERROR((D13-E13)/ABS(E13),0)</f>
        <v>-0.0909090909090909</v>
      </c>
      <c r="H13" s="18" t="n">
        <v>-56000</v>
      </c>
      <c r="I13" s="18" t="n">
        <v>-52000</v>
      </c>
      <c r="J13" s="19" t="n">
        <f aca="false">H13-I13</f>
        <v>-4000</v>
      </c>
      <c r="K13" s="20" t="n">
        <f aca="false">IFERROR((H13-I13)/ABS(I13),0)</f>
        <v>-0.0769230769230769</v>
      </c>
      <c r="L13" s="18" t="n">
        <v>-38000</v>
      </c>
      <c r="M13" s="18" t="n">
        <v>-34000</v>
      </c>
      <c r="N13" s="19" t="n">
        <f aca="false">L13-M13</f>
        <v>-4000</v>
      </c>
      <c r="O13" s="20" t="n">
        <f aca="false">IFERROR((L13-M13)/ABS(M13),0)</f>
        <v>-0.117647058823529</v>
      </c>
      <c r="P13" s="18" t="n">
        <v>-22000</v>
      </c>
      <c r="Q13" s="18" t="n">
        <v>-20000</v>
      </c>
      <c r="R13" s="19" t="n">
        <f aca="false">P13-Q13</f>
        <v>-2000</v>
      </c>
      <c r="S13" s="20" t="n">
        <f aca="false">IFERROR((P13-Q13)/ABS(Q13),0)</f>
        <v>-0.1</v>
      </c>
      <c r="T13" s="18" t="n">
        <v>-32000</v>
      </c>
      <c r="U13" s="18" t="n">
        <v>-28000</v>
      </c>
      <c r="V13" s="19" t="n">
        <f aca="false">T13-U13</f>
        <v>-4000</v>
      </c>
      <c r="W13" s="20" t="n">
        <f aca="false">IFERROR((T13-U13)/ABS(U13),0)</f>
        <v>-0.142857142857143</v>
      </c>
      <c r="X13" s="19" t="n">
        <f aca="false">D13+H13+L13+P13+T13</f>
        <v>-328000</v>
      </c>
      <c r="Y13" s="19" t="n">
        <f aca="false">E13+I13+M13+Q13+U13</f>
        <v>-299000</v>
      </c>
      <c r="Z13" s="19" t="n">
        <f aca="false">X13-Y13</f>
        <v>-29000</v>
      </c>
      <c r="AA13" s="20" t="n">
        <f aca="false">IFERROR((X13-Y13)/ABS(Y13),0)</f>
        <v>-0.096989966555184</v>
      </c>
      <c r="AB13" s="18" t="n">
        <v>14000</v>
      </c>
      <c r="AC13" s="18" t="n">
        <v>12000</v>
      </c>
      <c r="AD13" s="19" t="n">
        <f aca="false">AB13-AC13</f>
        <v>2000</v>
      </c>
      <c r="AE13" s="20" t="n">
        <f aca="false">IFERROR((AB13-AC13)/ABS(AC13),0)</f>
        <v>0.166666666666667</v>
      </c>
      <c r="AF13" s="19" t="n">
        <f aca="false">X13+AB13</f>
        <v>-314000</v>
      </c>
      <c r="AG13" s="19" t="n">
        <f aca="false">Y13+AC13</f>
        <v>-287000</v>
      </c>
      <c r="AH13" s="19" t="n">
        <f aca="false">AF13-AG13</f>
        <v>-27000</v>
      </c>
      <c r="AI13" s="20" t="n">
        <f aca="false">IFERROR((AF13-AG13)/ABS(AG13),0)</f>
        <v>-0.0940766550522648</v>
      </c>
    </row>
    <row r="14" customFormat="false" ht="15" hidden="false" customHeight="true" outlineLevel="0" collapsed="false">
      <c r="A14" s="21" t="n">
        <v>0</v>
      </c>
      <c r="B14" s="22" t="s">
        <v>30</v>
      </c>
      <c r="C14" s="22"/>
      <c r="D14" s="23" t="n">
        <f aca="false">D7+D8+D9+D10+D11+D12+D13</f>
        <v>21540000</v>
      </c>
      <c r="E14" s="23" t="n">
        <f aca="false">E7+E8+E9+E10+E11+E12+E13</f>
        <v>19377000</v>
      </c>
      <c r="F14" s="23" t="n">
        <f aca="false">D14-E14</f>
        <v>2163000</v>
      </c>
      <c r="G14" s="24" t="n">
        <f aca="false">IFERROR((D14-E14)/ABS(E14),0)</f>
        <v>0.111627186871033</v>
      </c>
      <c r="H14" s="23" t="n">
        <f aca="false">H7+H8+H9+H10+H11+H12+H13</f>
        <v>6994000</v>
      </c>
      <c r="I14" s="23" t="n">
        <f aca="false">I7+I8+I9+I10+I11+I12+I13</f>
        <v>6336000</v>
      </c>
      <c r="J14" s="23" t="n">
        <f aca="false">H14-I14</f>
        <v>658000</v>
      </c>
      <c r="K14" s="24" t="n">
        <f aca="false">IFERROR((H14-I14)/ABS(I14),0)</f>
        <v>0.10385101010101</v>
      </c>
      <c r="L14" s="23" t="n">
        <f aca="false">L7+L8+L9+L10+L11+L12+L13</f>
        <v>4302000</v>
      </c>
      <c r="M14" s="23" t="n">
        <f aca="false">M7+M8+M9+M10+M11+M12+M13</f>
        <v>4044000</v>
      </c>
      <c r="N14" s="23" t="n">
        <f aca="false">L14-M14</f>
        <v>258000</v>
      </c>
      <c r="O14" s="24" t="n">
        <f aca="false">IFERROR((L14-M14)/ABS(M14),0)</f>
        <v>0.0637982195845697</v>
      </c>
      <c r="P14" s="23" t="n">
        <f aca="false">P7+P8+P9+P10+P11+P12+P13</f>
        <v>1721000</v>
      </c>
      <c r="Q14" s="23" t="n">
        <f aca="false">Q7+Q8+Q9+Q10+Q11+Q12+Q13</f>
        <v>1573000</v>
      </c>
      <c r="R14" s="23" t="n">
        <f aca="false">P14-Q14</f>
        <v>148000</v>
      </c>
      <c r="S14" s="24" t="n">
        <f aca="false">IFERROR((P14-Q14)/ABS(Q14),0)</f>
        <v>0.0940877304513668</v>
      </c>
      <c r="T14" s="23" t="n">
        <f aca="false">T7+T8+T9+T10+T11+T12+T13</f>
        <v>4443000</v>
      </c>
      <c r="U14" s="23" t="n">
        <f aca="false">U7+U8+U9+U10+U11+U12+U13</f>
        <v>4012000</v>
      </c>
      <c r="V14" s="23" t="n">
        <f aca="false">T14-U14</f>
        <v>431000</v>
      </c>
      <c r="W14" s="24" t="n">
        <f aca="false">IFERROR((T14-U14)/ABS(U14),0)</f>
        <v>0.107427716849452</v>
      </c>
      <c r="X14" s="23" t="n">
        <f aca="false">D14+H14+L14+P14+T14</f>
        <v>39000000</v>
      </c>
      <c r="Y14" s="23" t="n">
        <f aca="false">E14+I14+M14+Q14+U14</f>
        <v>35342000</v>
      </c>
      <c r="Z14" s="23" t="n">
        <f aca="false">X14-Y14</f>
        <v>3658000</v>
      </c>
      <c r="AA14" s="24" t="n">
        <f aca="false">IFERROR((X14-Y14)/ABS(Y14),0)</f>
        <v>0.103502914379492</v>
      </c>
      <c r="AB14" s="23" t="n">
        <f aca="false">AB7+AB8+AB9+AB10+AB11+AB12+AB13</f>
        <v>-796000</v>
      </c>
      <c r="AC14" s="23" t="n">
        <f aca="false">AC7+AC8+AC9+AC10+AC11+AC12+AC13</f>
        <v>-708000</v>
      </c>
      <c r="AD14" s="23" t="n">
        <f aca="false">AB14-AC14</f>
        <v>-88000</v>
      </c>
      <c r="AE14" s="24" t="n">
        <f aca="false">IFERROR((AB14-AC14)/ABS(AC14),0)</f>
        <v>-0.124293785310734</v>
      </c>
      <c r="AF14" s="23" t="n">
        <f aca="false">X14+AB14</f>
        <v>38204000</v>
      </c>
      <c r="AG14" s="23" t="n">
        <f aca="false">Y14+AC14</f>
        <v>34634000</v>
      </c>
      <c r="AH14" s="23" t="n">
        <f aca="false">AF14-AG14</f>
        <v>3570000</v>
      </c>
      <c r="AI14" s="24" t="n">
        <f aca="false">IFERROR((AF14-AG14)/ABS(AG14),0)</f>
        <v>0.103077900329156</v>
      </c>
    </row>
    <row r="15" customFormat="false" ht="15" hidden="false" customHeight="true" outlineLevel="0" collapsed="false">
      <c r="A15" s="13"/>
      <c r="B15" s="14" t="s">
        <v>31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customFormat="false" ht="15" hidden="false" customHeight="true" outlineLevel="0" collapsed="false">
      <c r="A16" s="16" t="n">
        <v>1</v>
      </c>
      <c r="B16" s="17" t="s">
        <v>32</v>
      </c>
      <c r="C16" s="17"/>
      <c r="D16" s="18" t="n">
        <v>5120000</v>
      </c>
      <c r="E16" s="18" t="n">
        <v>5280000</v>
      </c>
      <c r="F16" s="19" t="n">
        <f aca="false">D16-E16</f>
        <v>-160000</v>
      </c>
      <c r="G16" s="20" t="n">
        <f aca="false">IFERROR((D16-E16)/ABS(E16),0)</f>
        <v>-0.0303030303030303</v>
      </c>
      <c r="H16" s="18" t="n">
        <v>1840000</v>
      </c>
      <c r="I16" s="18" t="n">
        <v>1900000</v>
      </c>
      <c r="J16" s="19" t="n">
        <f aca="false">H16-I16</f>
        <v>-60000</v>
      </c>
      <c r="K16" s="20" t="n">
        <f aca="false">IFERROR((H16-I16)/ABS(I16),0)</f>
        <v>-0.0315789473684211</v>
      </c>
      <c r="L16" s="18" t="n">
        <v>1120000</v>
      </c>
      <c r="M16" s="18" t="n">
        <v>1160000</v>
      </c>
      <c r="N16" s="19" t="n">
        <f aca="false">L16-M16</f>
        <v>-40000</v>
      </c>
      <c r="O16" s="20" t="n">
        <f aca="false">IFERROR((L16-M16)/ABS(M16),0)</f>
        <v>-0.0344827586206897</v>
      </c>
      <c r="P16" s="18" t="n">
        <v>480000</v>
      </c>
      <c r="Q16" s="18" t="n">
        <v>495000</v>
      </c>
      <c r="R16" s="19" t="n">
        <f aca="false">P16-Q16</f>
        <v>-15000</v>
      </c>
      <c r="S16" s="20" t="n">
        <f aca="false">IFERROR((P16-Q16)/ABS(Q16),0)</f>
        <v>-0.0303030303030303</v>
      </c>
      <c r="T16" s="18" t="n">
        <v>920000</v>
      </c>
      <c r="U16" s="18" t="n">
        <v>950000</v>
      </c>
      <c r="V16" s="19" t="n">
        <f aca="false">T16-U16</f>
        <v>-30000</v>
      </c>
      <c r="W16" s="20" t="n">
        <f aca="false">IFERROR((T16-U16)/ABS(U16),0)</f>
        <v>-0.0315789473684211</v>
      </c>
      <c r="X16" s="19" t="n">
        <f aca="false">D16+H16+L16+P16+T16</f>
        <v>9480000</v>
      </c>
      <c r="Y16" s="19" t="n">
        <f aca="false">E16+I16+M16+Q16+U16</f>
        <v>9785000</v>
      </c>
      <c r="Z16" s="19" t="n">
        <f aca="false">X16-Y16</f>
        <v>-305000</v>
      </c>
      <c r="AA16" s="20" t="n">
        <f aca="false">IFERROR((X16-Y16)/ABS(Y16),0)</f>
        <v>-0.031170158405723</v>
      </c>
      <c r="AB16" s="18" t="n">
        <v>0</v>
      </c>
      <c r="AC16" s="18" t="n">
        <v>0</v>
      </c>
      <c r="AD16" s="19" t="n">
        <f aca="false">AB16-AC16</f>
        <v>0</v>
      </c>
      <c r="AE16" s="20" t="n">
        <f aca="false">IFERROR((AB16-AC16)/ABS(AC16),0)</f>
        <v>0</v>
      </c>
      <c r="AF16" s="19" t="n">
        <f aca="false">X16+AB16</f>
        <v>9480000</v>
      </c>
      <c r="AG16" s="19" t="n">
        <f aca="false">Y16+AC16</f>
        <v>9785000</v>
      </c>
      <c r="AH16" s="19" t="n">
        <f aca="false">AF16-AG16</f>
        <v>-305000</v>
      </c>
      <c r="AI16" s="20" t="n">
        <f aca="false">IFERROR((AF16-AG16)/ABS(AG16),0)</f>
        <v>-0.031170158405723</v>
      </c>
    </row>
    <row r="17" customFormat="false" ht="15" hidden="false" customHeight="true" outlineLevel="0" collapsed="false">
      <c r="A17" s="16" t="n">
        <v>1</v>
      </c>
      <c r="B17" s="17" t="s">
        <v>33</v>
      </c>
      <c r="C17" s="17"/>
      <c r="D17" s="18" t="n">
        <v>4280000</v>
      </c>
      <c r="E17" s="18" t="n">
        <v>4080000</v>
      </c>
      <c r="F17" s="19" t="n">
        <f aca="false">D17-E17</f>
        <v>200000</v>
      </c>
      <c r="G17" s="20" t="n">
        <f aca="false">IFERROR((D17-E17)/ABS(E17),0)</f>
        <v>0.0490196078431373</v>
      </c>
      <c r="H17" s="18" t="n">
        <v>1580000</v>
      </c>
      <c r="I17" s="18" t="n">
        <v>1510000</v>
      </c>
      <c r="J17" s="19" t="n">
        <f aca="false">H17-I17</f>
        <v>70000</v>
      </c>
      <c r="K17" s="20" t="n">
        <f aca="false">IFERROR((H17-I17)/ABS(I17),0)</f>
        <v>0.0463576158940397</v>
      </c>
      <c r="L17" s="18" t="n">
        <v>920000</v>
      </c>
      <c r="M17" s="18" t="n">
        <v>880000</v>
      </c>
      <c r="N17" s="19" t="n">
        <f aca="false">L17-M17</f>
        <v>40000</v>
      </c>
      <c r="O17" s="20" t="n">
        <f aca="false">IFERROR((L17-M17)/ABS(M17),0)</f>
        <v>0.0454545454545455</v>
      </c>
      <c r="P17" s="18" t="n">
        <v>380000</v>
      </c>
      <c r="Q17" s="18" t="n">
        <v>365000</v>
      </c>
      <c r="R17" s="19" t="n">
        <f aca="false">P17-Q17</f>
        <v>15000</v>
      </c>
      <c r="S17" s="20" t="n">
        <f aca="false">IFERROR((P17-Q17)/ABS(Q17),0)</f>
        <v>0.0410958904109589</v>
      </c>
      <c r="T17" s="18" t="n">
        <v>720000</v>
      </c>
      <c r="U17" s="18" t="n">
        <v>685000</v>
      </c>
      <c r="V17" s="19" t="n">
        <f aca="false">T17-U17</f>
        <v>35000</v>
      </c>
      <c r="W17" s="20" t="n">
        <f aca="false">IFERROR((T17-U17)/ABS(U17),0)</f>
        <v>0.0510948905109489</v>
      </c>
      <c r="X17" s="19" t="n">
        <f aca="false">D17+H17+L17+P17+T17</f>
        <v>7880000</v>
      </c>
      <c r="Y17" s="19" t="n">
        <f aca="false">E17+I17+M17+Q17+U17</f>
        <v>7520000</v>
      </c>
      <c r="Z17" s="19" t="n">
        <f aca="false">X17-Y17</f>
        <v>360000</v>
      </c>
      <c r="AA17" s="20" t="n">
        <f aca="false">IFERROR((X17-Y17)/ABS(Y17),0)</f>
        <v>0.0478723404255319</v>
      </c>
      <c r="AB17" s="18" t="n">
        <v>0</v>
      </c>
      <c r="AC17" s="18" t="n">
        <v>0</v>
      </c>
      <c r="AD17" s="19" t="n">
        <f aca="false">AB17-AC17</f>
        <v>0</v>
      </c>
      <c r="AE17" s="20" t="n">
        <f aca="false">IFERROR((AB17-AC17)/ABS(AC17),0)</f>
        <v>0</v>
      </c>
      <c r="AF17" s="19" t="n">
        <f aca="false">X17+AB17</f>
        <v>7880000</v>
      </c>
      <c r="AG17" s="19" t="n">
        <f aca="false">Y17+AC17</f>
        <v>7520000</v>
      </c>
      <c r="AH17" s="19" t="n">
        <f aca="false">AF17-AG17</f>
        <v>360000</v>
      </c>
      <c r="AI17" s="20" t="n">
        <f aca="false">IFERROR((AF17-AG17)/ABS(AG17),0)</f>
        <v>0.0478723404255319</v>
      </c>
    </row>
    <row r="18" customFormat="false" ht="15" hidden="false" customHeight="true" outlineLevel="0" collapsed="false">
      <c r="A18" s="16" t="n">
        <v>1</v>
      </c>
      <c r="B18" s="17" t="s">
        <v>34</v>
      </c>
      <c r="C18" s="17"/>
      <c r="D18" s="18" t="n">
        <v>580000</v>
      </c>
      <c r="E18" s="18" t="n">
        <v>545000</v>
      </c>
      <c r="F18" s="19" t="n">
        <f aca="false">D18-E18</f>
        <v>35000</v>
      </c>
      <c r="G18" s="20" t="n">
        <f aca="false">IFERROR((D18-E18)/ABS(E18),0)</f>
        <v>0.0642201834862385</v>
      </c>
      <c r="H18" s="18" t="n">
        <v>220000</v>
      </c>
      <c r="I18" s="18" t="n">
        <v>210000</v>
      </c>
      <c r="J18" s="19" t="n">
        <f aca="false">H18-I18</f>
        <v>10000</v>
      </c>
      <c r="K18" s="20" t="n">
        <f aca="false">IFERROR((H18-I18)/ABS(I18),0)</f>
        <v>0.0476190476190476</v>
      </c>
      <c r="L18" s="18" t="n">
        <v>130000</v>
      </c>
      <c r="M18" s="18" t="n">
        <v>125000</v>
      </c>
      <c r="N18" s="19" t="n">
        <f aca="false">L18-M18</f>
        <v>5000</v>
      </c>
      <c r="O18" s="20" t="n">
        <f aca="false">IFERROR((L18-M18)/ABS(M18),0)</f>
        <v>0.04</v>
      </c>
      <c r="P18" s="18" t="n">
        <v>52000</v>
      </c>
      <c r="Q18" s="18" t="n">
        <v>50000</v>
      </c>
      <c r="R18" s="19" t="n">
        <f aca="false">P18-Q18</f>
        <v>2000</v>
      </c>
      <c r="S18" s="20" t="n">
        <f aca="false">IFERROR((P18-Q18)/ABS(Q18),0)</f>
        <v>0.04</v>
      </c>
      <c r="T18" s="18" t="n">
        <v>95000</v>
      </c>
      <c r="U18" s="18" t="n">
        <v>92000</v>
      </c>
      <c r="V18" s="19" t="n">
        <f aca="false">T18-U18</f>
        <v>3000</v>
      </c>
      <c r="W18" s="20" t="n">
        <f aca="false">IFERROR((T18-U18)/ABS(U18),0)</f>
        <v>0.0326086956521739</v>
      </c>
      <c r="X18" s="19" t="n">
        <f aca="false">D18+H18+L18+P18+T18</f>
        <v>1077000</v>
      </c>
      <c r="Y18" s="19" t="n">
        <f aca="false">E18+I18+M18+Q18+U18</f>
        <v>1022000</v>
      </c>
      <c r="Z18" s="19" t="n">
        <f aca="false">X18-Y18</f>
        <v>55000</v>
      </c>
      <c r="AA18" s="20" t="n">
        <f aca="false">IFERROR((X18-Y18)/ABS(Y18),0)</f>
        <v>0.0538160469667319</v>
      </c>
      <c r="AB18" s="18" t="n">
        <v>0</v>
      </c>
      <c r="AC18" s="18" t="n">
        <v>0</v>
      </c>
      <c r="AD18" s="19" t="n">
        <f aca="false">AB18-AC18</f>
        <v>0</v>
      </c>
      <c r="AE18" s="20" t="n">
        <f aca="false">IFERROR((AB18-AC18)/ABS(AC18),0)</f>
        <v>0</v>
      </c>
      <c r="AF18" s="19" t="n">
        <f aca="false">X18+AB18</f>
        <v>1077000</v>
      </c>
      <c r="AG18" s="19" t="n">
        <f aca="false">Y18+AC18</f>
        <v>1022000</v>
      </c>
      <c r="AH18" s="19" t="n">
        <f aca="false">AF18-AG18</f>
        <v>55000</v>
      </c>
      <c r="AI18" s="20" t="n">
        <f aca="false">IFERROR((AF18-AG18)/ABS(AG18),0)</f>
        <v>0.0538160469667319</v>
      </c>
    </row>
    <row r="19" customFormat="false" ht="15" hidden="false" customHeight="true" outlineLevel="0" collapsed="false">
      <c r="A19" s="16" t="n">
        <v>1</v>
      </c>
      <c r="B19" s="17" t="s">
        <v>35</v>
      </c>
      <c r="C19" s="17"/>
      <c r="D19" s="18" t="n">
        <v>3200000</v>
      </c>
      <c r="E19" s="18" t="n">
        <v>3200000</v>
      </c>
      <c r="F19" s="19" t="n">
        <f aca="false">D19-E19</f>
        <v>0</v>
      </c>
      <c r="G19" s="20" t="n">
        <f aca="false">IFERROR((D19-E19)/ABS(E19),0)</f>
        <v>0</v>
      </c>
      <c r="H19" s="18" t="n">
        <v>1080000</v>
      </c>
      <c r="I19" s="18" t="n">
        <v>1080000</v>
      </c>
      <c r="J19" s="19" t="n">
        <f aca="false">H19-I19</f>
        <v>0</v>
      </c>
      <c r="K19" s="20" t="n">
        <f aca="false">IFERROR((H19-I19)/ABS(I19),0)</f>
        <v>0</v>
      </c>
      <c r="L19" s="18" t="n">
        <v>580000</v>
      </c>
      <c r="M19" s="18" t="n">
        <v>580000</v>
      </c>
      <c r="N19" s="19" t="n">
        <f aca="false">L19-M19</f>
        <v>0</v>
      </c>
      <c r="O19" s="20" t="n">
        <f aca="false">IFERROR((L19-M19)/ABS(M19),0)</f>
        <v>0</v>
      </c>
      <c r="P19" s="18" t="n">
        <v>240000</v>
      </c>
      <c r="Q19" s="18" t="n">
        <v>240000</v>
      </c>
      <c r="R19" s="19" t="n">
        <f aca="false">P19-Q19</f>
        <v>0</v>
      </c>
      <c r="S19" s="20" t="n">
        <f aca="false">IFERROR((P19-Q19)/ABS(Q19),0)</f>
        <v>0</v>
      </c>
      <c r="T19" s="18" t="n">
        <v>0</v>
      </c>
      <c r="U19" s="18" t="n">
        <v>0</v>
      </c>
      <c r="V19" s="19" t="n">
        <f aca="false">T19-U19</f>
        <v>0</v>
      </c>
      <c r="W19" s="20" t="n">
        <f aca="false">IFERROR((T19-U19)/ABS(U19),0)</f>
        <v>0</v>
      </c>
      <c r="X19" s="19" t="n">
        <f aca="false">D19+H19+L19+P19+T19</f>
        <v>5100000</v>
      </c>
      <c r="Y19" s="19" t="n">
        <f aca="false">E19+I19+M19+Q19+U19</f>
        <v>5100000</v>
      </c>
      <c r="Z19" s="19" t="n">
        <f aca="false">X19-Y19</f>
        <v>0</v>
      </c>
      <c r="AA19" s="20" t="n">
        <f aca="false">IFERROR((X19-Y19)/ABS(Y19),0)</f>
        <v>0</v>
      </c>
      <c r="AB19" s="18" t="n">
        <v>0</v>
      </c>
      <c r="AC19" s="18" t="n">
        <v>0</v>
      </c>
      <c r="AD19" s="19" t="n">
        <f aca="false">AB19-AC19</f>
        <v>0</v>
      </c>
      <c r="AE19" s="20" t="n">
        <f aca="false">IFERROR((AB19-AC19)/ABS(AC19),0)</f>
        <v>0</v>
      </c>
      <c r="AF19" s="19" t="n">
        <f aca="false">X19+AB19</f>
        <v>5100000</v>
      </c>
      <c r="AG19" s="19" t="n">
        <f aca="false">Y19+AC19</f>
        <v>5100000</v>
      </c>
      <c r="AH19" s="19" t="n">
        <f aca="false">AF19-AG19</f>
        <v>0</v>
      </c>
      <c r="AI19" s="20" t="n">
        <f aca="false">IFERROR((AF19-AG19)/ABS(AG19),0)</f>
        <v>0</v>
      </c>
    </row>
    <row r="20" customFormat="false" ht="15" hidden="false" customHeight="true" outlineLevel="0" collapsed="false">
      <c r="A20" s="16" t="n">
        <v>1</v>
      </c>
      <c r="B20" s="17" t="s">
        <v>36</v>
      </c>
      <c r="C20" s="17"/>
      <c r="D20" s="18" t="n">
        <v>720000</v>
      </c>
      <c r="E20" s="18" t="n">
        <v>480000</v>
      </c>
      <c r="F20" s="19" t="n">
        <f aca="false">D20-E20</f>
        <v>240000</v>
      </c>
      <c r="G20" s="20" t="n">
        <f aca="false">IFERROR((D20-E20)/ABS(E20),0)</f>
        <v>0.5</v>
      </c>
      <c r="H20" s="18" t="n">
        <v>380000</v>
      </c>
      <c r="I20" s="18" t="n">
        <v>220000</v>
      </c>
      <c r="J20" s="19" t="n">
        <f aca="false">H20-I20</f>
        <v>160000</v>
      </c>
      <c r="K20" s="20" t="n">
        <f aca="false">IFERROR((H20-I20)/ABS(I20),0)</f>
        <v>0.727272727272727</v>
      </c>
      <c r="L20" s="18" t="n">
        <v>0</v>
      </c>
      <c r="M20" s="18" t="n">
        <v>0</v>
      </c>
      <c r="N20" s="19" t="n">
        <f aca="false">L20-M20</f>
        <v>0</v>
      </c>
      <c r="O20" s="20" t="n">
        <f aca="false">IFERROR((L20-M20)/ABS(M20),0)</f>
        <v>0</v>
      </c>
      <c r="P20" s="18" t="n">
        <v>0</v>
      </c>
      <c r="Q20" s="18" t="n">
        <v>0</v>
      </c>
      <c r="R20" s="19" t="n">
        <f aca="false">P20-Q20</f>
        <v>0</v>
      </c>
      <c r="S20" s="20" t="n">
        <f aca="false">IFERROR((P20-Q20)/ABS(Q20),0)</f>
        <v>0</v>
      </c>
      <c r="T20" s="18" t="n">
        <v>280000</v>
      </c>
      <c r="U20" s="18" t="n">
        <v>180000</v>
      </c>
      <c r="V20" s="19" t="n">
        <f aca="false">T20-U20</f>
        <v>100000</v>
      </c>
      <c r="W20" s="20" t="n">
        <f aca="false">IFERROR((T20-U20)/ABS(U20),0)</f>
        <v>0.555555555555556</v>
      </c>
      <c r="X20" s="19" t="n">
        <f aca="false">D20+H20+L20+P20+T20</f>
        <v>1380000</v>
      </c>
      <c r="Y20" s="19" t="n">
        <f aca="false">E20+I20+M20+Q20+U20</f>
        <v>880000</v>
      </c>
      <c r="Z20" s="19" t="n">
        <f aca="false">X20-Y20</f>
        <v>500000</v>
      </c>
      <c r="AA20" s="20" t="n">
        <f aca="false">IFERROR((X20-Y20)/ABS(Y20),0)</f>
        <v>0.568181818181818</v>
      </c>
      <c r="AB20" s="18" t="n">
        <v>0</v>
      </c>
      <c r="AC20" s="18" t="n">
        <v>0</v>
      </c>
      <c r="AD20" s="19" t="n">
        <f aca="false">AB20-AC20</f>
        <v>0</v>
      </c>
      <c r="AE20" s="20" t="n">
        <f aca="false">IFERROR((AB20-AC20)/ABS(AC20),0)</f>
        <v>0</v>
      </c>
      <c r="AF20" s="19" t="n">
        <f aca="false">X20+AB20</f>
        <v>1380000</v>
      </c>
      <c r="AG20" s="19" t="n">
        <f aca="false">Y20+AC20</f>
        <v>880000</v>
      </c>
      <c r="AH20" s="19" t="n">
        <f aca="false">AF20-AG20</f>
        <v>500000</v>
      </c>
      <c r="AI20" s="20" t="n">
        <f aca="false">IFERROR((AF20-AG20)/ABS(AG20),0)</f>
        <v>0.568181818181818</v>
      </c>
    </row>
    <row r="21" customFormat="false" ht="15" hidden="false" customHeight="true" outlineLevel="0" collapsed="false">
      <c r="A21" s="16" t="n">
        <v>1</v>
      </c>
      <c r="B21" s="17" t="s">
        <v>37</v>
      </c>
      <c r="C21" s="17"/>
      <c r="D21" s="18" t="n">
        <v>480000</v>
      </c>
      <c r="E21" s="18" t="n">
        <v>432000</v>
      </c>
      <c r="F21" s="19" t="n">
        <f aca="false">D21-E21</f>
        <v>48000</v>
      </c>
      <c r="G21" s="20" t="n">
        <f aca="false">IFERROR((D21-E21)/ABS(E21),0)</f>
        <v>0.111111111111111</v>
      </c>
      <c r="H21" s="18" t="n">
        <v>142000</v>
      </c>
      <c r="I21" s="18" t="n">
        <v>130000</v>
      </c>
      <c r="J21" s="19" t="n">
        <f aca="false">H21-I21</f>
        <v>12000</v>
      </c>
      <c r="K21" s="20" t="n">
        <f aca="false">IFERROR((H21-I21)/ABS(I21),0)</f>
        <v>0.0923076923076923</v>
      </c>
      <c r="L21" s="18" t="n">
        <v>88000</v>
      </c>
      <c r="M21" s="18" t="n">
        <v>80000</v>
      </c>
      <c r="N21" s="19" t="n">
        <f aca="false">L21-M21</f>
        <v>8000</v>
      </c>
      <c r="O21" s="20" t="n">
        <f aca="false">IFERROR((L21-M21)/ABS(M21),0)</f>
        <v>0.1</v>
      </c>
      <c r="P21" s="18" t="n">
        <v>35000</v>
      </c>
      <c r="Q21" s="18" t="n">
        <v>32000</v>
      </c>
      <c r="R21" s="19" t="n">
        <f aca="false">P21-Q21</f>
        <v>3000</v>
      </c>
      <c r="S21" s="20" t="n">
        <f aca="false">IFERROR((P21-Q21)/ABS(Q21),0)</f>
        <v>0.09375</v>
      </c>
      <c r="T21" s="18" t="n">
        <v>65000</v>
      </c>
      <c r="U21" s="18" t="n">
        <v>60000</v>
      </c>
      <c r="V21" s="19" t="n">
        <f aca="false">T21-U21</f>
        <v>5000</v>
      </c>
      <c r="W21" s="20" t="n">
        <f aca="false">IFERROR((T21-U21)/ABS(U21),0)</f>
        <v>0.0833333333333333</v>
      </c>
      <c r="X21" s="19" t="n">
        <f aca="false">D21+H21+L21+P21+T21</f>
        <v>810000</v>
      </c>
      <c r="Y21" s="19" t="n">
        <f aca="false">E21+I21+M21+Q21+U21</f>
        <v>734000</v>
      </c>
      <c r="Z21" s="19" t="n">
        <f aca="false">X21-Y21</f>
        <v>76000</v>
      </c>
      <c r="AA21" s="20" t="n">
        <f aca="false">IFERROR((X21-Y21)/ABS(Y21),0)</f>
        <v>0.103542234332425</v>
      </c>
      <c r="AB21" s="18" t="n">
        <v>0</v>
      </c>
      <c r="AC21" s="18" t="n">
        <v>0</v>
      </c>
      <c r="AD21" s="19" t="n">
        <f aca="false">AB21-AC21</f>
        <v>0</v>
      </c>
      <c r="AE21" s="20" t="n">
        <f aca="false">IFERROR((AB21-AC21)/ABS(AC21),0)</f>
        <v>0</v>
      </c>
      <c r="AF21" s="19" t="n">
        <f aca="false">X21+AB21</f>
        <v>810000</v>
      </c>
      <c r="AG21" s="19" t="n">
        <f aca="false">Y21+AC21</f>
        <v>734000</v>
      </c>
      <c r="AH21" s="19" t="n">
        <f aca="false">AF21-AG21</f>
        <v>76000</v>
      </c>
      <c r="AI21" s="20" t="n">
        <f aca="false">IFERROR((AF21-AG21)/ABS(AG21),0)</f>
        <v>0.103542234332425</v>
      </c>
    </row>
    <row r="22" customFormat="false" ht="15" hidden="false" customHeight="true" outlineLevel="0" collapsed="false">
      <c r="A22" s="16" t="n">
        <v>1</v>
      </c>
      <c r="B22" s="17" t="s">
        <v>38</v>
      </c>
      <c r="C22" s="17"/>
      <c r="D22" s="18" t="n">
        <v>0</v>
      </c>
      <c r="E22" s="18" t="n">
        <v>0</v>
      </c>
      <c r="F22" s="19" t="n">
        <f aca="false">D22-E22</f>
        <v>0</v>
      </c>
      <c r="G22" s="20" t="n">
        <f aca="false">IFERROR((D22-E22)/ABS(E22),0)</f>
        <v>0</v>
      </c>
      <c r="H22" s="18" t="n">
        <v>0</v>
      </c>
      <c r="I22" s="18" t="n">
        <v>0</v>
      </c>
      <c r="J22" s="19" t="n">
        <f aca="false">H22-I22</f>
        <v>0</v>
      </c>
      <c r="K22" s="20" t="n">
        <f aca="false">IFERROR((H22-I22)/ABS(I22),0)</f>
        <v>0</v>
      </c>
      <c r="L22" s="18" t="n">
        <v>0</v>
      </c>
      <c r="M22" s="18" t="n">
        <v>0</v>
      </c>
      <c r="N22" s="19" t="n">
        <f aca="false">L22-M22</f>
        <v>0</v>
      </c>
      <c r="O22" s="20" t="n">
        <f aca="false">IFERROR((L22-M22)/ABS(M22),0)</f>
        <v>0</v>
      </c>
      <c r="P22" s="18" t="n">
        <v>0</v>
      </c>
      <c r="Q22" s="18" t="n">
        <v>0</v>
      </c>
      <c r="R22" s="19" t="n">
        <f aca="false">P22-Q22</f>
        <v>0</v>
      </c>
      <c r="S22" s="20" t="n">
        <f aca="false">IFERROR((P22-Q22)/ABS(Q22),0)</f>
        <v>0</v>
      </c>
      <c r="T22" s="18" t="n">
        <v>0</v>
      </c>
      <c r="U22" s="18" t="n">
        <v>0</v>
      </c>
      <c r="V22" s="19" t="n">
        <f aca="false">T22-U22</f>
        <v>0</v>
      </c>
      <c r="W22" s="20" t="n">
        <f aca="false">IFERROR((T22-U22)/ABS(U22),0)</f>
        <v>0</v>
      </c>
      <c r="X22" s="19" t="n">
        <f aca="false">D22+H22+L22+P22+T22</f>
        <v>0</v>
      </c>
      <c r="Y22" s="19" t="n">
        <f aca="false">E22+I22+M22+Q22+U22</f>
        <v>0</v>
      </c>
      <c r="Z22" s="19" t="n">
        <f aca="false">X22-Y22</f>
        <v>0</v>
      </c>
      <c r="AA22" s="20" t="n">
        <f aca="false">IFERROR((X22-Y22)/ABS(Y22),0)</f>
        <v>0</v>
      </c>
      <c r="AB22" s="18" t="n">
        <v>1628900</v>
      </c>
      <c r="AC22" s="18" t="n">
        <v>1810000</v>
      </c>
      <c r="AD22" s="19" t="n">
        <f aca="false">AB22-AC22</f>
        <v>-181100</v>
      </c>
      <c r="AE22" s="20" t="n">
        <f aca="false">IFERROR((AB22-AC22)/ABS(AC22),0)</f>
        <v>-0.100055248618785</v>
      </c>
      <c r="AF22" s="19" t="n">
        <f aca="false">X22+AB22</f>
        <v>1628900</v>
      </c>
      <c r="AG22" s="19" t="n">
        <f aca="false">Y22+AC22</f>
        <v>1810000</v>
      </c>
      <c r="AH22" s="19" t="n">
        <f aca="false">AF22-AG22</f>
        <v>-181100</v>
      </c>
      <c r="AI22" s="20" t="n">
        <f aca="false">IFERROR((AF22-AG22)/ABS(AG22),0)</f>
        <v>-0.100055248618785</v>
      </c>
    </row>
    <row r="23" customFormat="false" ht="15" hidden="false" customHeight="true" outlineLevel="0" collapsed="false">
      <c r="A23" s="16" t="n">
        <v>1</v>
      </c>
      <c r="B23" s="17" t="s">
        <v>39</v>
      </c>
      <c r="C23" s="17"/>
      <c r="D23" s="18" t="n">
        <v>2840000</v>
      </c>
      <c r="E23" s="18" t="n">
        <v>2640000</v>
      </c>
      <c r="F23" s="19" t="n">
        <f aca="false">D23-E23</f>
        <v>200000</v>
      </c>
      <c r="G23" s="20" t="n">
        <f aca="false">IFERROR((D23-E23)/ABS(E23),0)</f>
        <v>0.0757575757575758</v>
      </c>
      <c r="H23" s="18" t="n">
        <v>0</v>
      </c>
      <c r="I23" s="18" t="n">
        <v>0</v>
      </c>
      <c r="J23" s="19" t="n">
        <f aca="false">H23-I23</f>
        <v>0</v>
      </c>
      <c r="K23" s="20" t="n">
        <f aca="false">IFERROR((H23-I23)/ABS(I23),0)</f>
        <v>0</v>
      </c>
      <c r="L23" s="18" t="n">
        <v>0</v>
      </c>
      <c r="M23" s="18" t="n">
        <v>0</v>
      </c>
      <c r="N23" s="19" t="n">
        <f aca="false">L23-M23</f>
        <v>0</v>
      </c>
      <c r="O23" s="20" t="n">
        <f aca="false">IFERROR((L23-M23)/ABS(M23),0)</f>
        <v>0</v>
      </c>
      <c r="P23" s="18" t="n">
        <v>0</v>
      </c>
      <c r="Q23" s="18" t="n">
        <v>0</v>
      </c>
      <c r="R23" s="19" t="n">
        <f aca="false">P23-Q23</f>
        <v>0</v>
      </c>
      <c r="S23" s="20" t="n">
        <f aca="false">IFERROR((P23-Q23)/ABS(Q23),0)</f>
        <v>0</v>
      </c>
      <c r="T23" s="18" t="n">
        <v>0</v>
      </c>
      <c r="U23" s="18" t="n">
        <v>0</v>
      </c>
      <c r="V23" s="19" t="n">
        <f aca="false">T23-U23</f>
        <v>0</v>
      </c>
      <c r="W23" s="20" t="n">
        <f aca="false">IFERROR((T23-U23)/ABS(U23),0)</f>
        <v>0</v>
      </c>
      <c r="X23" s="19" t="n">
        <f aca="false">D23+H23+L23+P23+T23</f>
        <v>2840000</v>
      </c>
      <c r="Y23" s="19" t="n">
        <f aca="false">E23+I23+M23+Q23+U23</f>
        <v>2640000</v>
      </c>
      <c r="Z23" s="19" t="n">
        <f aca="false">X23-Y23</f>
        <v>200000</v>
      </c>
      <c r="AA23" s="20" t="n">
        <f aca="false">IFERROR((X23-Y23)/ABS(Y23),0)</f>
        <v>0.0757575757575758</v>
      </c>
      <c r="AB23" s="18" t="n">
        <v>-480000</v>
      </c>
      <c r="AC23" s="18" t="n">
        <v>-440000</v>
      </c>
      <c r="AD23" s="19" t="n">
        <f aca="false">AB23-AC23</f>
        <v>-40000</v>
      </c>
      <c r="AE23" s="20" t="n">
        <f aca="false">IFERROR((AB23-AC23)/ABS(AC23),0)</f>
        <v>-0.0909090909090909</v>
      </c>
      <c r="AF23" s="19" t="n">
        <f aca="false">X23+AB23</f>
        <v>2360000</v>
      </c>
      <c r="AG23" s="19" t="n">
        <f aca="false">Y23+AC23</f>
        <v>2200000</v>
      </c>
      <c r="AH23" s="19" t="n">
        <f aca="false">AF23-AG23</f>
        <v>160000</v>
      </c>
      <c r="AI23" s="20" t="n">
        <f aca="false">IFERROR((AF23-AG23)/ABS(AG23),0)</f>
        <v>0.0727272727272727</v>
      </c>
    </row>
    <row r="24" customFormat="false" ht="15" hidden="false" customHeight="true" outlineLevel="0" collapsed="false">
      <c r="A24" s="16" t="n">
        <v>1</v>
      </c>
      <c r="B24" s="17" t="s">
        <v>40</v>
      </c>
      <c r="C24" s="17"/>
      <c r="D24" s="18" t="n">
        <v>4580000</v>
      </c>
      <c r="E24" s="18" t="n">
        <v>4580000</v>
      </c>
      <c r="F24" s="19" t="n">
        <f aca="false">D24-E24</f>
        <v>0</v>
      </c>
      <c r="G24" s="20" t="n">
        <f aca="false">IFERROR((D24-E24)/ABS(E24),0)</f>
        <v>0</v>
      </c>
      <c r="H24" s="18" t="n">
        <v>0</v>
      </c>
      <c r="I24" s="18" t="n">
        <v>0</v>
      </c>
      <c r="J24" s="19" t="n">
        <f aca="false">H24-I24</f>
        <v>0</v>
      </c>
      <c r="K24" s="20" t="n">
        <f aca="false">IFERROR((H24-I24)/ABS(I24),0)</f>
        <v>0</v>
      </c>
      <c r="L24" s="18" t="n">
        <v>0</v>
      </c>
      <c r="M24" s="18" t="n">
        <v>0</v>
      </c>
      <c r="N24" s="19" t="n">
        <f aca="false">L24-M24</f>
        <v>0</v>
      </c>
      <c r="O24" s="20" t="n">
        <f aca="false">IFERROR((L24-M24)/ABS(M24),0)</f>
        <v>0</v>
      </c>
      <c r="P24" s="18" t="n">
        <v>0</v>
      </c>
      <c r="Q24" s="18" t="n">
        <v>0</v>
      </c>
      <c r="R24" s="19" t="n">
        <f aca="false">P24-Q24</f>
        <v>0</v>
      </c>
      <c r="S24" s="20" t="n">
        <f aca="false">IFERROR((P24-Q24)/ABS(Q24),0)</f>
        <v>0</v>
      </c>
      <c r="T24" s="18" t="n">
        <v>0</v>
      </c>
      <c r="U24" s="18" t="n">
        <v>0</v>
      </c>
      <c r="V24" s="19" t="n">
        <f aca="false">T24-U24</f>
        <v>0</v>
      </c>
      <c r="W24" s="20" t="n">
        <f aca="false">IFERROR((T24-U24)/ABS(U24),0)</f>
        <v>0</v>
      </c>
      <c r="X24" s="19" t="n">
        <f aca="false">D24+H24+L24+P24+T24</f>
        <v>4580000</v>
      </c>
      <c r="Y24" s="19" t="n">
        <f aca="false">E24+I24+M24+Q24+U24</f>
        <v>4580000</v>
      </c>
      <c r="Z24" s="19" t="n">
        <f aca="false">X24-Y24</f>
        <v>0</v>
      </c>
      <c r="AA24" s="20" t="n">
        <f aca="false">IFERROR((X24-Y24)/ABS(Y24),0)</f>
        <v>0</v>
      </c>
      <c r="AB24" s="18" t="n">
        <v>-4580000</v>
      </c>
      <c r="AC24" s="18" t="n">
        <v>-4580000</v>
      </c>
      <c r="AD24" s="19" t="n">
        <f aca="false">AB24-AC24</f>
        <v>0</v>
      </c>
      <c r="AE24" s="20" t="n">
        <f aca="false">IFERROR((AB24-AC24)/ABS(AC24),0)</f>
        <v>0</v>
      </c>
      <c r="AF24" s="19" t="n">
        <f aca="false">X24+AB24</f>
        <v>0</v>
      </c>
      <c r="AG24" s="19" t="n">
        <f aca="false">Y24+AC24</f>
        <v>0</v>
      </c>
      <c r="AH24" s="19" t="n">
        <f aca="false">AF24-AG24</f>
        <v>0</v>
      </c>
      <c r="AI24" s="20" t="n">
        <f aca="false">IFERROR((AF24-AG24)/ABS(AG24),0)</f>
        <v>0</v>
      </c>
    </row>
    <row r="25" customFormat="false" ht="15" hidden="false" customHeight="true" outlineLevel="0" collapsed="false">
      <c r="A25" s="16" t="n">
        <v>1</v>
      </c>
      <c r="B25" s="17" t="s">
        <v>41</v>
      </c>
      <c r="C25" s="17"/>
      <c r="D25" s="18" t="n">
        <v>580000</v>
      </c>
      <c r="E25" s="18" t="n">
        <v>540000</v>
      </c>
      <c r="F25" s="19" t="n">
        <f aca="false">D25-E25</f>
        <v>40000</v>
      </c>
      <c r="G25" s="20" t="n">
        <f aca="false">IFERROR((D25-E25)/ABS(E25),0)</f>
        <v>0.0740740740740741</v>
      </c>
      <c r="H25" s="18" t="n">
        <v>195000</v>
      </c>
      <c r="I25" s="18" t="n">
        <v>180000</v>
      </c>
      <c r="J25" s="19" t="n">
        <f aca="false">H25-I25</f>
        <v>15000</v>
      </c>
      <c r="K25" s="20" t="n">
        <f aca="false">IFERROR((H25-I25)/ABS(I25),0)</f>
        <v>0.0833333333333333</v>
      </c>
      <c r="L25" s="18" t="n">
        <v>120000</v>
      </c>
      <c r="M25" s="18" t="n">
        <v>110000</v>
      </c>
      <c r="N25" s="19" t="n">
        <f aca="false">L25-M25</f>
        <v>10000</v>
      </c>
      <c r="O25" s="20" t="n">
        <f aca="false">IFERROR((L25-M25)/ABS(M25),0)</f>
        <v>0.0909090909090909</v>
      </c>
      <c r="P25" s="18" t="n">
        <v>48000</v>
      </c>
      <c r="Q25" s="18" t="n">
        <v>45000</v>
      </c>
      <c r="R25" s="19" t="n">
        <f aca="false">P25-Q25</f>
        <v>3000</v>
      </c>
      <c r="S25" s="20" t="n">
        <f aca="false">IFERROR((P25-Q25)/ABS(Q25),0)</f>
        <v>0.0666666666666667</v>
      </c>
      <c r="T25" s="18" t="n">
        <v>0</v>
      </c>
      <c r="U25" s="18" t="n">
        <v>0</v>
      </c>
      <c r="V25" s="19" t="n">
        <f aca="false">T25-U25</f>
        <v>0</v>
      </c>
      <c r="W25" s="20" t="n">
        <f aca="false">IFERROR((T25-U25)/ABS(U25),0)</f>
        <v>0</v>
      </c>
      <c r="X25" s="19" t="n">
        <f aca="false">D25+H25+L25+P25+T25</f>
        <v>943000</v>
      </c>
      <c r="Y25" s="19" t="n">
        <f aca="false">E25+I25+M25+Q25+U25</f>
        <v>875000</v>
      </c>
      <c r="Z25" s="19" t="n">
        <f aca="false">X25-Y25</f>
        <v>68000</v>
      </c>
      <c r="AA25" s="20" t="n">
        <f aca="false">IFERROR((X25-Y25)/ABS(Y25),0)</f>
        <v>0.0777142857142857</v>
      </c>
      <c r="AB25" s="18" t="n">
        <v>0</v>
      </c>
      <c r="AC25" s="18" t="n">
        <v>0</v>
      </c>
      <c r="AD25" s="19" t="n">
        <f aca="false">AB25-AC25</f>
        <v>0</v>
      </c>
      <c r="AE25" s="20" t="n">
        <f aca="false">IFERROR((AB25-AC25)/ABS(AC25),0)</f>
        <v>0</v>
      </c>
      <c r="AF25" s="19" t="n">
        <f aca="false">X25+AB25</f>
        <v>943000</v>
      </c>
      <c r="AG25" s="19" t="n">
        <f aca="false">Y25+AC25</f>
        <v>875000</v>
      </c>
      <c r="AH25" s="19" t="n">
        <f aca="false">AF25-AG25</f>
        <v>68000</v>
      </c>
      <c r="AI25" s="20" t="n">
        <f aca="false">IFERROR((AF25-AG25)/ABS(AG25),0)</f>
        <v>0.0777142857142857</v>
      </c>
    </row>
    <row r="26" customFormat="false" ht="15" hidden="false" customHeight="true" outlineLevel="0" collapsed="false">
      <c r="A26" s="21" t="n">
        <v>0</v>
      </c>
      <c r="B26" s="22" t="s">
        <v>42</v>
      </c>
      <c r="C26" s="22"/>
      <c r="D26" s="23" t="n">
        <f aca="false">D16+D17+D18+D19+D20+D21+D22+D23+D24+D25</f>
        <v>22380000</v>
      </c>
      <c r="E26" s="23" t="n">
        <f aca="false">E16+E17+E18+E19+E20+E21+E22+E23+E24+E25</f>
        <v>21777000</v>
      </c>
      <c r="F26" s="23" t="n">
        <f aca="false">D26-E26</f>
        <v>603000</v>
      </c>
      <c r="G26" s="24" t="n">
        <f aca="false">IFERROR((D26-E26)/ABS(E26),0)</f>
        <v>0.0276897644303623</v>
      </c>
      <c r="H26" s="23" t="n">
        <f aca="false">H16+H17+H18+H19+H20+H21+H22+H23+H24+H25</f>
        <v>5437000</v>
      </c>
      <c r="I26" s="23" t="n">
        <f aca="false">I16+I17+I18+I19+I20+I21+I22+I23+I24+I25</f>
        <v>5230000</v>
      </c>
      <c r="J26" s="23" t="n">
        <f aca="false">H26-I26</f>
        <v>207000</v>
      </c>
      <c r="K26" s="24" t="n">
        <f aca="false">IFERROR((H26-I26)/ABS(I26),0)</f>
        <v>0.0395793499043977</v>
      </c>
      <c r="L26" s="23" t="n">
        <f aca="false">L16+L17+L18+L19+L20+L21+L22+L23+L24+L25</f>
        <v>2958000</v>
      </c>
      <c r="M26" s="23" t="n">
        <f aca="false">M16+M17+M18+M19+M20+M21+M22+M23+M24+M25</f>
        <v>2935000</v>
      </c>
      <c r="N26" s="23" t="n">
        <f aca="false">L26-M26</f>
        <v>23000</v>
      </c>
      <c r="O26" s="24" t="n">
        <f aca="false">IFERROR((L26-M26)/ABS(M26),0)</f>
        <v>0.00783645655877342</v>
      </c>
      <c r="P26" s="23" t="n">
        <f aca="false">P16+P17+P18+P19+P20+P21+P22+P23+P24+P25</f>
        <v>1235000</v>
      </c>
      <c r="Q26" s="23" t="n">
        <f aca="false">Q16+Q17+Q18+Q19+Q20+Q21+Q22+Q23+Q24+Q25</f>
        <v>1227000</v>
      </c>
      <c r="R26" s="23" t="n">
        <f aca="false">P26-Q26</f>
        <v>8000</v>
      </c>
      <c r="S26" s="24" t="n">
        <f aca="false">IFERROR((P26-Q26)/ABS(Q26),0)</f>
        <v>0.006519967400163</v>
      </c>
      <c r="T26" s="23" t="n">
        <f aca="false">T16+T17+T18+T19+T20+T21+T22+T23+T24+T25</f>
        <v>2080000</v>
      </c>
      <c r="U26" s="23" t="n">
        <f aca="false">U16+U17+U18+U19+U20+U21+U22+U23+U24+U25</f>
        <v>1967000</v>
      </c>
      <c r="V26" s="23" t="n">
        <f aca="false">T26-U26</f>
        <v>113000</v>
      </c>
      <c r="W26" s="24" t="n">
        <f aca="false">IFERROR((T26-U26)/ABS(U26),0)</f>
        <v>0.0574478901881037</v>
      </c>
      <c r="X26" s="23" t="n">
        <f aca="false">D26+H26+L26+P26+T26</f>
        <v>34090000</v>
      </c>
      <c r="Y26" s="23" t="n">
        <f aca="false">E26+I26+M26+Q26+U26</f>
        <v>33136000</v>
      </c>
      <c r="Z26" s="23" t="n">
        <f aca="false">X26-Y26</f>
        <v>954000</v>
      </c>
      <c r="AA26" s="24" t="n">
        <f aca="false">IFERROR((X26-Y26)/ABS(Y26),0)</f>
        <v>0.0287904394012554</v>
      </c>
      <c r="AB26" s="23" t="n">
        <f aca="false">AB16+AB17+AB18+AB19+AB20+AB21+AB22+AB23+AB24+AB25</f>
        <v>-3431100</v>
      </c>
      <c r="AC26" s="23" t="n">
        <f aca="false">AC16+AC17+AC18+AC19+AC20+AC21+AC22+AC23+AC24+AC25</f>
        <v>-3210000</v>
      </c>
      <c r="AD26" s="23" t="n">
        <f aca="false">AB26-AC26</f>
        <v>-221100</v>
      </c>
      <c r="AE26" s="24" t="n">
        <f aca="false">IFERROR((AB26-AC26)/ABS(AC26),0)</f>
        <v>-0.0688785046728972</v>
      </c>
      <c r="AF26" s="23" t="n">
        <f aca="false">X26+AB26</f>
        <v>30658900</v>
      </c>
      <c r="AG26" s="23" t="n">
        <f aca="false">Y26+AC26</f>
        <v>29926000</v>
      </c>
      <c r="AH26" s="23" t="n">
        <f aca="false">AF26-AG26</f>
        <v>732900</v>
      </c>
      <c r="AI26" s="24" t="n">
        <f aca="false">IFERROR((AF26-AG26)/ABS(AG26),0)</f>
        <v>0.0244904096772038</v>
      </c>
    </row>
    <row r="27" customFormat="false" ht="15" hidden="false" customHeight="true" outlineLevel="0" collapsed="false">
      <c r="A27" s="25" t="n">
        <v>0</v>
      </c>
      <c r="B27" s="26" t="s">
        <v>43</v>
      </c>
      <c r="C27" s="26"/>
      <c r="D27" s="27" t="n">
        <f aca="false">D14+D26</f>
        <v>43920000</v>
      </c>
      <c r="E27" s="27" t="n">
        <f aca="false">E14+E26</f>
        <v>41154000</v>
      </c>
      <c r="F27" s="27" t="n">
        <f aca="false">D27-E27</f>
        <v>2766000</v>
      </c>
      <c r="G27" s="28" t="n">
        <f aca="false">IFERROR((D27-E27)/ABS(E27),0)</f>
        <v>0.067210963697332</v>
      </c>
      <c r="H27" s="27" t="n">
        <f aca="false">H14+H26</f>
        <v>12431000</v>
      </c>
      <c r="I27" s="27" t="n">
        <f aca="false">I14+I26</f>
        <v>11566000</v>
      </c>
      <c r="J27" s="27" t="n">
        <f aca="false">H27-I27</f>
        <v>865000</v>
      </c>
      <c r="K27" s="28" t="n">
        <f aca="false">IFERROR((H27-I27)/ABS(I27),0)</f>
        <v>0.0747881722289469</v>
      </c>
      <c r="L27" s="27" t="n">
        <f aca="false">L14+L26</f>
        <v>7260000</v>
      </c>
      <c r="M27" s="27" t="n">
        <f aca="false">M14+M26</f>
        <v>6979000</v>
      </c>
      <c r="N27" s="27" t="n">
        <f aca="false">L27-M27</f>
        <v>281000</v>
      </c>
      <c r="O27" s="28" t="n">
        <f aca="false">IFERROR((L27-M27)/ABS(M27),0)</f>
        <v>0.0402636480871185</v>
      </c>
      <c r="P27" s="27" t="n">
        <f aca="false">P14+P26</f>
        <v>2956000</v>
      </c>
      <c r="Q27" s="27" t="n">
        <f aca="false">Q14+Q26</f>
        <v>2800000</v>
      </c>
      <c r="R27" s="27" t="n">
        <f aca="false">P27-Q27</f>
        <v>156000</v>
      </c>
      <c r="S27" s="28" t="n">
        <f aca="false">IFERROR((P27-Q27)/ABS(Q27),0)</f>
        <v>0.0557142857142857</v>
      </c>
      <c r="T27" s="27" t="n">
        <f aca="false">T14+T26</f>
        <v>6523000</v>
      </c>
      <c r="U27" s="27" t="n">
        <f aca="false">U14+U26</f>
        <v>5979000</v>
      </c>
      <c r="V27" s="27" t="n">
        <f aca="false">T27-U27</f>
        <v>544000</v>
      </c>
      <c r="W27" s="28" t="n">
        <f aca="false">IFERROR((T27-U27)/ABS(U27),0)</f>
        <v>0.0909851145676535</v>
      </c>
      <c r="X27" s="27" t="n">
        <f aca="false">D27+H27+L27+P27+T27</f>
        <v>73090000</v>
      </c>
      <c r="Y27" s="27" t="n">
        <f aca="false">E27+I27+M27+Q27+U27</f>
        <v>68478000</v>
      </c>
      <c r="Z27" s="27" t="n">
        <f aca="false">X27-Y27</f>
        <v>4612000</v>
      </c>
      <c r="AA27" s="28" t="n">
        <f aca="false">IFERROR((X27-Y27)/ABS(Y27),0)</f>
        <v>0.0673500978416426</v>
      </c>
      <c r="AB27" s="27" t="n">
        <f aca="false">AB14+AB26</f>
        <v>-4227100</v>
      </c>
      <c r="AC27" s="27" t="n">
        <f aca="false">AC14+AC26</f>
        <v>-3918000</v>
      </c>
      <c r="AD27" s="27" t="n">
        <f aca="false">AB27-AC27</f>
        <v>-309100</v>
      </c>
      <c r="AE27" s="28" t="n">
        <f aca="false">IFERROR((AB27-AC27)/ABS(AC27),0)</f>
        <v>-0.078892291985707</v>
      </c>
      <c r="AF27" s="27" t="n">
        <f aca="false">X27+AB27</f>
        <v>68862900</v>
      </c>
      <c r="AG27" s="27" t="n">
        <f aca="false">Y27+AC27</f>
        <v>64560000</v>
      </c>
      <c r="AH27" s="27" t="n">
        <f aca="false">AF27-AG27</f>
        <v>4302900</v>
      </c>
      <c r="AI27" s="28" t="n">
        <f aca="false">IFERROR((AF27-AG27)/ABS(AG27),0)</f>
        <v>0.0666496282527881</v>
      </c>
    </row>
    <row r="28" customFormat="false" ht="15" hidden="false" customHeight="true" outlineLevel="0" collapsed="false">
      <c r="A28" s="13"/>
      <c r="B28" s="14" t="s">
        <v>44</v>
      </c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customFormat="false" ht="15" hidden="false" customHeight="true" outlineLevel="0" collapsed="false">
      <c r="A29" s="13"/>
      <c r="B29" s="14" t="s">
        <v>45</v>
      </c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customFormat="false" ht="15" hidden="false" customHeight="true" outlineLevel="0" collapsed="false">
      <c r="A30" s="16" t="n">
        <v>1</v>
      </c>
      <c r="B30" s="17" t="s">
        <v>46</v>
      </c>
      <c r="C30" s="17"/>
      <c r="D30" s="18" t="n">
        <v>5240000</v>
      </c>
      <c r="E30" s="18" t="n">
        <v>4820000</v>
      </c>
      <c r="F30" s="19" t="n">
        <f aca="false">D30-E30</f>
        <v>420000</v>
      </c>
      <c r="G30" s="20" t="n">
        <f aca="false">IFERROR((D30-E30)/ABS(E30),0)</f>
        <v>0.0871369294605809</v>
      </c>
      <c r="H30" s="18" t="n">
        <v>1640000</v>
      </c>
      <c r="I30" s="18" t="n">
        <v>1540000</v>
      </c>
      <c r="J30" s="19" t="n">
        <f aca="false">H30-I30</f>
        <v>100000</v>
      </c>
      <c r="K30" s="20" t="n">
        <f aca="false">IFERROR((H30-I30)/ABS(I30),0)</f>
        <v>0.0649350649350649</v>
      </c>
      <c r="L30" s="18" t="n">
        <v>1080000</v>
      </c>
      <c r="M30" s="18" t="n">
        <v>1020000</v>
      </c>
      <c r="N30" s="19" t="n">
        <f aca="false">L30-M30</f>
        <v>60000</v>
      </c>
      <c r="O30" s="20" t="n">
        <f aca="false">IFERROR((L30-M30)/ABS(M30),0)</f>
        <v>0.0588235294117647</v>
      </c>
      <c r="P30" s="18" t="n">
        <v>420000</v>
      </c>
      <c r="Q30" s="18" t="n">
        <v>395000</v>
      </c>
      <c r="R30" s="19" t="n">
        <f aca="false">P30-Q30</f>
        <v>25000</v>
      </c>
      <c r="S30" s="20" t="n">
        <f aca="false">IFERROR((P30-Q30)/ABS(Q30),0)</f>
        <v>0.0632911392405063</v>
      </c>
      <c r="T30" s="18" t="n">
        <v>980000</v>
      </c>
      <c r="U30" s="18" t="n">
        <v>920000</v>
      </c>
      <c r="V30" s="19" t="n">
        <f aca="false">T30-U30</f>
        <v>60000</v>
      </c>
      <c r="W30" s="20" t="n">
        <f aca="false">IFERROR((T30-U30)/ABS(U30),0)</f>
        <v>0.0652173913043478</v>
      </c>
      <c r="X30" s="19" t="n">
        <f aca="false">D30+H30+L30+P30+T30</f>
        <v>9360000</v>
      </c>
      <c r="Y30" s="19" t="n">
        <f aca="false">E30+I30+M30+Q30+U30</f>
        <v>8695000</v>
      </c>
      <c r="Z30" s="19" t="n">
        <f aca="false">X30-Y30</f>
        <v>665000</v>
      </c>
      <c r="AA30" s="20" t="n">
        <f aca="false">IFERROR((X30-Y30)/ABS(Y30),0)</f>
        <v>0.0764807360552041</v>
      </c>
      <c r="AB30" s="18" t="n">
        <v>-680000</v>
      </c>
      <c r="AC30" s="18" t="n">
        <v>-610000</v>
      </c>
      <c r="AD30" s="19" t="n">
        <f aca="false">AB30-AC30</f>
        <v>-70000</v>
      </c>
      <c r="AE30" s="20" t="n">
        <f aca="false">IFERROR((AB30-AC30)/ABS(AC30),0)</f>
        <v>-0.114754098360656</v>
      </c>
      <c r="AF30" s="19" t="n">
        <f aca="false">X30+AB30</f>
        <v>8680000</v>
      </c>
      <c r="AG30" s="19" t="n">
        <f aca="false">Y30+AC30</f>
        <v>8085000</v>
      </c>
      <c r="AH30" s="19" t="n">
        <f aca="false">AF30-AG30</f>
        <v>595000</v>
      </c>
      <c r="AI30" s="20" t="n">
        <f aca="false">IFERROR((AF30-AG30)/ABS(AG30),0)</f>
        <v>0.0735930735930736</v>
      </c>
    </row>
    <row r="31" customFormat="false" ht="15" hidden="false" customHeight="true" outlineLevel="0" collapsed="false">
      <c r="A31" s="16" t="n">
        <v>1</v>
      </c>
      <c r="B31" s="17" t="s">
        <v>47</v>
      </c>
      <c r="C31" s="17"/>
      <c r="D31" s="18" t="n">
        <v>2400000</v>
      </c>
      <c r="E31" s="18" t="n">
        <v>2200000</v>
      </c>
      <c r="F31" s="19" t="n">
        <f aca="false">D31-E31</f>
        <v>200000</v>
      </c>
      <c r="G31" s="20" t="n">
        <f aca="false">IFERROR((D31-E31)/ABS(E31),0)</f>
        <v>0.0909090909090909</v>
      </c>
      <c r="H31" s="18" t="n">
        <v>800000</v>
      </c>
      <c r="I31" s="18" t="n">
        <v>750000</v>
      </c>
      <c r="J31" s="19" t="n">
        <f aca="false">H31-I31</f>
        <v>50000</v>
      </c>
      <c r="K31" s="20" t="n">
        <f aca="false">IFERROR((H31-I31)/ABS(I31),0)</f>
        <v>0.0666666666666667</v>
      </c>
      <c r="L31" s="18" t="n">
        <v>600000</v>
      </c>
      <c r="M31" s="18" t="n">
        <v>580000</v>
      </c>
      <c r="N31" s="19" t="n">
        <f aca="false">L31-M31</f>
        <v>20000</v>
      </c>
      <c r="O31" s="20" t="n">
        <f aca="false">IFERROR((L31-M31)/ABS(M31),0)</f>
        <v>0.0344827586206897</v>
      </c>
      <c r="P31" s="18" t="n">
        <v>240000</v>
      </c>
      <c r="Q31" s="18" t="n">
        <v>220000</v>
      </c>
      <c r="R31" s="19" t="n">
        <f aca="false">P31-Q31</f>
        <v>20000</v>
      </c>
      <c r="S31" s="20" t="n">
        <f aca="false">IFERROR((P31-Q31)/ABS(Q31),0)</f>
        <v>0.0909090909090909</v>
      </c>
      <c r="T31" s="18" t="n">
        <v>480000</v>
      </c>
      <c r="U31" s="18" t="n">
        <v>450000</v>
      </c>
      <c r="V31" s="19" t="n">
        <f aca="false">T31-U31</f>
        <v>30000</v>
      </c>
      <c r="W31" s="20" t="n">
        <f aca="false">IFERROR((T31-U31)/ABS(U31),0)</f>
        <v>0.0666666666666667</v>
      </c>
      <c r="X31" s="19" t="n">
        <f aca="false">D31+H31+L31+P31+T31</f>
        <v>4520000</v>
      </c>
      <c r="Y31" s="19" t="n">
        <f aca="false">E31+I31+M31+Q31+U31</f>
        <v>4200000</v>
      </c>
      <c r="Z31" s="19" t="n">
        <f aca="false">X31-Y31</f>
        <v>320000</v>
      </c>
      <c r="AA31" s="20" t="n">
        <f aca="false">IFERROR((X31-Y31)/ABS(Y31),0)</f>
        <v>0.0761904761904762</v>
      </c>
      <c r="AB31" s="18" t="n">
        <v>-300000</v>
      </c>
      <c r="AC31" s="18" t="n">
        <v>-280000</v>
      </c>
      <c r="AD31" s="19" t="n">
        <f aca="false">AB31-AC31</f>
        <v>-20000</v>
      </c>
      <c r="AE31" s="20" t="n">
        <f aca="false">IFERROR((AB31-AC31)/ABS(AC31),0)</f>
        <v>-0.0714285714285714</v>
      </c>
      <c r="AF31" s="19" t="n">
        <f aca="false">X31+AB31</f>
        <v>4220000</v>
      </c>
      <c r="AG31" s="19" t="n">
        <f aca="false">Y31+AC31</f>
        <v>3920000</v>
      </c>
      <c r="AH31" s="19" t="n">
        <f aca="false">AF31-AG31</f>
        <v>300000</v>
      </c>
      <c r="AI31" s="20" t="n">
        <f aca="false">IFERROR((AF31-AG31)/ABS(AG31),0)</f>
        <v>0.076530612244898</v>
      </c>
    </row>
    <row r="32" customFormat="false" ht="15" hidden="false" customHeight="true" outlineLevel="0" collapsed="false">
      <c r="A32" s="16" t="n">
        <v>1</v>
      </c>
      <c r="B32" s="17" t="s">
        <v>48</v>
      </c>
      <c r="C32" s="17"/>
      <c r="D32" s="18" t="n">
        <v>480000</v>
      </c>
      <c r="E32" s="18" t="n">
        <v>445000</v>
      </c>
      <c r="F32" s="19" t="n">
        <f aca="false">D32-E32</f>
        <v>35000</v>
      </c>
      <c r="G32" s="20" t="n">
        <f aca="false">IFERROR((D32-E32)/ABS(E32),0)</f>
        <v>0.0786516853932584</v>
      </c>
      <c r="H32" s="18" t="n">
        <v>142000</v>
      </c>
      <c r="I32" s="18" t="n">
        <v>132000</v>
      </c>
      <c r="J32" s="19" t="n">
        <f aca="false">H32-I32</f>
        <v>10000</v>
      </c>
      <c r="K32" s="20" t="n">
        <f aca="false">IFERROR((H32-I32)/ABS(I32),0)</f>
        <v>0.0757575757575758</v>
      </c>
      <c r="L32" s="18" t="n">
        <v>88000</v>
      </c>
      <c r="M32" s="18" t="n">
        <v>82000</v>
      </c>
      <c r="N32" s="19" t="n">
        <f aca="false">L32-M32</f>
        <v>6000</v>
      </c>
      <c r="O32" s="20" t="n">
        <f aca="false">IFERROR((L32-M32)/ABS(M32),0)</f>
        <v>0.0731707317073171</v>
      </c>
      <c r="P32" s="18" t="n">
        <v>35000</v>
      </c>
      <c r="Q32" s="18" t="n">
        <v>32000</v>
      </c>
      <c r="R32" s="19" t="n">
        <f aca="false">P32-Q32</f>
        <v>3000</v>
      </c>
      <c r="S32" s="20" t="n">
        <f aca="false">IFERROR((P32-Q32)/ABS(Q32),0)</f>
        <v>0.09375</v>
      </c>
      <c r="T32" s="18" t="n">
        <v>65000</v>
      </c>
      <c r="U32" s="18" t="n">
        <v>60000</v>
      </c>
      <c r="V32" s="19" t="n">
        <f aca="false">T32-U32</f>
        <v>5000</v>
      </c>
      <c r="W32" s="20" t="n">
        <f aca="false">IFERROR((T32-U32)/ABS(U32),0)</f>
        <v>0.0833333333333333</v>
      </c>
      <c r="X32" s="19" t="n">
        <f aca="false">D32+H32+L32+P32+T32</f>
        <v>810000</v>
      </c>
      <c r="Y32" s="19" t="n">
        <f aca="false">E32+I32+M32+Q32+U32</f>
        <v>751000</v>
      </c>
      <c r="Z32" s="19" t="n">
        <f aca="false">X32-Y32</f>
        <v>59000</v>
      </c>
      <c r="AA32" s="20" t="n">
        <f aca="false">IFERROR((X32-Y32)/ABS(Y32),0)</f>
        <v>0.0785619174434088</v>
      </c>
      <c r="AB32" s="18" t="n">
        <v>-22000</v>
      </c>
      <c r="AC32" s="18" t="n">
        <v>-20000</v>
      </c>
      <c r="AD32" s="19" t="n">
        <f aca="false">AB32-AC32</f>
        <v>-2000</v>
      </c>
      <c r="AE32" s="20" t="n">
        <f aca="false">IFERROR((AB32-AC32)/ABS(AC32),0)</f>
        <v>-0.1</v>
      </c>
      <c r="AF32" s="19" t="n">
        <f aca="false">X32+AB32</f>
        <v>788000</v>
      </c>
      <c r="AG32" s="19" t="n">
        <f aca="false">Y32+AC32</f>
        <v>731000</v>
      </c>
      <c r="AH32" s="19" t="n">
        <f aca="false">AF32-AG32</f>
        <v>57000</v>
      </c>
      <c r="AI32" s="20" t="n">
        <f aca="false">IFERROR((AF32-AG32)/ABS(AG32),0)</f>
        <v>0.0779753761969904</v>
      </c>
    </row>
    <row r="33" customFormat="false" ht="15" hidden="false" customHeight="true" outlineLevel="0" collapsed="false">
      <c r="A33" s="16" t="n">
        <v>1</v>
      </c>
      <c r="B33" s="17" t="s">
        <v>49</v>
      </c>
      <c r="C33" s="17"/>
      <c r="D33" s="18" t="n">
        <v>720000</v>
      </c>
      <c r="E33" s="18" t="n">
        <v>680000</v>
      </c>
      <c r="F33" s="19" t="n">
        <f aca="false">D33-E33</f>
        <v>40000</v>
      </c>
      <c r="G33" s="20" t="n">
        <f aca="false">IFERROR((D33-E33)/ABS(E33),0)</f>
        <v>0.0588235294117647</v>
      </c>
      <c r="H33" s="18" t="n">
        <v>220000</v>
      </c>
      <c r="I33" s="18" t="n">
        <v>210000</v>
      </c>
      <c r="J33" s="19" t="n">
        <f aca="false">H33-I33</f>
        <v>10000</v>
      </c>
      <c r="K33" s="20" t="n">
        <f aca="false">IFERROR((H33-I33)/ABS(I33),0)</f>
        <v>0.0476190476190476</v>
      </c>
      <c r="L33" s="18" t="n">
        <v>130000</v>
      </c>
      <c r="M33" s="18" t="n">
        <v>125000</v>
      </c>
      <c r="N33" s="19" t="n">
        <f aca="false">L33-M33</f>
        <v>5000</v>
      </c>
      <c r="O33" s="20" t="n">
        <f aca="false">IFERROR((L33-M33)/ABS(M33),0)</f>
        <v>0.04</v>
      </c>
      <c r="P33" s="18" t="n">
        <v>52000</v>
      </c>
      <c r="Q33" s="18" t="n">
        <v>50000</v>
      </c>
      <c r="R33" s="19" t="n">
        <f aca="false">P33-Q33</f>
        <v>2000</v>
      </c>
      <c r="S33" s="20" t="n">
        <f aca="false">IFERROR((P33-Q33)/ABS(Q33),0)</f>
        <v>0.04</v>
      </c>
      <c r="T33" s="18" t="n">
        <v>95000</v>
      </c>
      <c r="U33" s="18" t="n">
        <v>92000</v>
      </c>
      <c r="V33" s="19" t="n">
        <f aca="false">T33-U33</f>
        <v>3000</v>
      </c>
      <c r="W33" s="20" t="n">
        <f aca="false">IFERROR((T33-U33)/ABS(U33),0)</f>
        <v>0.0326086956521739</v>
      </c>
      <c r="X33" s="19" t="n">
        <f aca="false">D33+H33+L33+P33+T33</f>
        <v>1217000</v>
      </c>
      <c r="Y33" s="19" t="n">
        <f aca="false">E33+I33+M33+Q33+U33</f>
        <v>1157000</v>
      </c>
      <c r="Z33" s="19" t="n">
        <f aca="false">X33-Y33</f>
        <v>60000</v>
      </c>
      <c r="AA33" s="20" t="n">
        <f aca="false">IFERROR((X33-Y33)/ABS(Y33),0)</f>
        <v>0.0518582541054451</v>
      </c>
      <c r="AB33" s="18" t="n">
        <v>0</v>
      </c>
      <c r="AC33" s="18" t="n">
        <v>0</v>
      </c>
      <c r="AD33" s="19" t="n">
        <f aca="false">AB33-AC33</f>
        <v>0</v>
      </c>
      <c r="AE33" s="20" t="n">
        <f aca="false">IFERROR((AB33-AC33)/ABS(AC33),0)</f>
        <v>0</v>
      </c>
      <c r="AF33" s="19" t="n">
        <f aca="false">X33+AB33</f>
        <v>1217000</v>
      </c>
      <c r="AG33" s="19" t="n">
        <f aca="false">Y33+AC33</f>
        <v>1157000</v>
      </c>
      <c r="AH33" s="19" t="n">
        <f aca="false">AF33-AG33</f>
        <v>60000</v>
      </c>
      <c r="AI33" s="20" t="n">
        <f aca="false">IFERROR((AF33-AG33)/ABS(AG33),0)</f>
        <v>0.0518582541054451</v>
      </c>
    </row>
    <row r="34" customFormat="false" ht="15" hidden="false" customHeight="true" outlineLevel="0" collapsed="false">
      <c r="A34" s="16" t="n">
        <v>1</v>
      </c>
      <c r="B34" s="17" t="s">
        <v>50</v>
      </c>
      <c r="C34" s="17"/>
      <c r="D34" s="18" t="n">
        <v>480000</v>
      </c>
      <c r="E34" s="18" t="n">
        <v>460000</v>
      </c>
      <c r="F34" s="19" t="n">
        <f aca="false">D34-E34</f>
        <v>20000</v>
      </c>
      <c r="G34" s="20" t="n">
        <f aca="false">IFERROR((D34-E34)/ABS(E34),0)</f>
        <v>0.0434782608695652</v>
      </c>
      <c r="H34" s="18" t="n">
        <v>145000</v>
      </c>
      <c r="I34" s="18" t="n">
        <v>138000</v>
      </c>
      <c r="J34" s="19" t="n">
        <f aca="false">H34-I34</f>
        <v>7000</v>
      </c>
      <c r="K34" s="20" t="n">
        <f aca="false">IFERROR((H34-I34)/ABS(I34),0)</f>
        <v>0.0507246376811594</v>
      </c>
      <c r="L34" s="18" t="n">
        <v>92000</v>
      </c>
      <c r="M34" s="18" t="n">
        <v>88000</v>
      </c>
      <c r="N34" s="19" t="n">
        <f aca="false">L34-M34</f>
        <v>4000</v>
      </c>
      <c r="O34" s="20" t="n">
        <f aca="false">IFERROR((L34-M34)/ABS(M34),0)</f>
        <v>0.0454545454545455</v>
      </c>
      <c r="P34" s="18" t="n">
        <v>38000</v>
      </c>
      <c r="Q34" s="18" t="n">
        <v>36000</v>
      </c>
      <c r="R34" s="19" t="n">
        <f aca="false">P34-Q34</f>
        <v>2000</v>
      </c>
      <c r="S34" s="20" t="n">
        <f aca="false">IFERROR((P34-Q34)/ABS(Q34),0)</f>
        <v>0.0555555555555556</v>
      </c>
      <c r="T34" s="18" t="n">
        <v>0</v>
      </c>
      <c r="U34" s="18" t="n">
        <v>0</v>
      </c>
      <c r="V34" s="19" t="n">
        <f aca="false">T34-U34</f>
        <v>0</v>
      </c>
      <c r="W34" s="20" t="n">
        <f aca="false">IFERROR((T34-U34)/ABS(U34),0)</f>
        <v>0</v>
      </c>
      <c r="X34" s="19" t="n">
        <f aca="false">D34+H34+L34+P34+T34</f>
        <v>755000</v>
      </c>
      <c r="Y34" s="19" t="n">
        <f aca="false">E34+I34+M34+Q34+U34</f>
        <v>722000</v>
      </c>
      <c r="Z34" s="19" t="n">
        <f aca="false">X34-Y34</f>
        <v>33000</v>
      </c>
      <c r="AA34" s="20" t="n">
        <f aca="false">IFERROR((X34-Y34)/ABS(Y34),0)</f>
        <v>0.0457063711911357</v>
      </c>
      <c r="AB34" s="18" t="n">
        <v>0</v>
      </c>
      <c r="AC34" s="18" t="n">
        <v>0</v>
      </c>
      <c r="AD34" s="19" t="n">
        <f aca="false">AB34-AC34</f>
        <v>0</v>
      </c>
      <c r="AE34" s="20" t="n">
        <f aca="false">IFERROR((AB34-AC34)/ABS(AC34),0)</f>
        <v>0</v>
      </c>
      <c r="AF34" s="19" t="n">
        <f aca="false">X34+AB34</f>
        <v>755000</v>
      </c>
      <c r="AG34" s="19" t="n">
        <f aca="false">Y34+AC34</f>
        <v>722000</v>
      </c>
      <c r="AH34" s="19" t="n">
        <f aca="false">AF34-AG34</f>
        <v>33000</v>
      </c>
      <c r="AI34" s="20" t="n">
        <f aca="false">IFERROR((AF34-AG34)/ABS(AG34),0)</f>
        <v>0.0457063711911357</v>
      </c>
    </row>
    <row r="35" customFormat="false" ht="15" hidden="false" customHeight="true" outlineLevel="0" collapsed="false">
      <c r="A35" s="16" t="n">
        <v>1</v>
      </c>
      <c r="B35" s="17" t="s">
        <v>51</v>
      </c>
      <c r="C35" s="17"/>
      <c r="D35" s="18" t="n">
        <v>320000</v>
      </c>
      <c r="E35" s="18" t="n">
        <v>295000</v>
      </c>
      <c r="F35" s="19" t="n">
        <f aca="false">D35-E35</f>
        <v>25000</v>
      </c>
      <c r="G35" s="20" t="n">
        <f aca="false">IFERROR((D35-E35)/ABS(E35),0)</f>
        <v>0.0847457627118644</v>
      </c>
      <c r="H35" s="18" t="n">
        <v>88000</v>
      </c>
      <c r="I35" s="18" t="n">
        <v>80000</v>
      </c>
      <c r="J35" s="19" t="n">
        <f aca="false">H35-I35</f>
        <v>8000</v>
      </c>
      <c r="K35" s="20" t="n">
        <f aca="false">IFERROR((H35-I35)/ABS(I35),0)</f>
        <v>0.1</v>
      </c>
      <c r="L35" s="18" t="n">
        <v>52000</v>
      </c>
      <c r="M35" s="18" t="n">
        <v>48000</v>
      </c>
      <c r="N35" s="19" t="n">
        <f aca="false">L35-M35</f>
        <v>4000</v>
      </c>
      <c r="O35" s="20" t="n">
        <f aca="false">IFERROR((L35-M35)/ABS(M35),0)</f>
        <v>0.0833333333333333</v>
      </c>
      <c r="P35" s="18" t="n">
        <v>22000</v>
      </c>
      <c r="Q35" s="18" t="n">
        <v>20000</v>
      </c>
      <c r="R35" s="19" t="n">
        <f aca="false">P35-Q35</f>
        <v>2000</v>
      </c>
      <c r="S35" s="20" t="n">
        <f aca="false">IFERROR((P35-Q35)/ABS(Q35),0)</f>
        <v>0.1</v>
      </c>
      <c r="T35" s="18" t="n">
        <v>48000</v>
      </c>
      <c r="U35" s="18" t="n">
        <v>45000</v>
      </c>
      <c r="V35" s="19" t="n">
        <f aca="false">T35-U35</f>
        <v>3000</v>
      </c>
      <c r="W35" s="20" t="n">
        <f aca="false">IFERROR((T35-U35)/ABS(U35),0)</f>
        <v>0.0666666666666667</v>
      </c>
      <c r="X35" s="19" t="n">
        <f aca="false">D35+H35+L35+P35+T35</f>
        <v>530000</v>
      </c>
      <c r="Y35" s="19" t="n">
        <f aca="false">E35+I35+M35+Q35+U35</f>
        <v>488000</v>
      </c>
      <c r="Z35" s="19" t="n">
        <f aca="false">X35-Y35</f>
        <v>42000</v>
      </c>
      <c r="AA35" s="20" t="n">
        <f aca="false">IFERROR((X35-Y35)/ABS(Y35),0)</f>
        <v>0.0860655737704918</v>
      </c>
      <c r="AB35" s="18" t="n">
        <v>-8000</v>
      </c>
      <c r="AC35" s="18" t="n">
        <v>-7000</v>
      </c>
      <c r="AD35" s="19" t="n">
        <f aca="false">AB35-AC35</f>
        <v>-1000</v>
      </c>
      <c r="AE35" s="20" t="n">
        <f aca="false">IFERROR((AB35-AC35)/ABS(AC35),0)</f>
        <v>-0.142857142857143</v>
      </c>
      <c r="AF35" s="19" t="n">
        <f aca="false">X35+AB35</f>
        <v>522000</v>
      </c>
      <c r="AG35" s="19" t="n">
        <f aca="false">Y35+AC35</f>
        <v>481000</v>
      </c>
      <c r="AH35" s="19" t="n">
        <f aca="false">AF35-AG35</f>
        <v>41000</v>
      </c>
      <c r="AI35" s="20" t="n">
        <f aca="false">IFERROR((AF35-AG35)/ABS(AG35),0)</f>
        <v>0.0852390852390852</v>
      </c>
    </row>
    <row r="36" customFormat="false" ht="15" hidden="false" customHeight="true" outlineLevel="0" collapsed="false">
      <c r="A36" s="21" t="n">
        <v>0</v>
      </c>
      <c r="B36" s="22" t="s">
        <v>52</v>
      </c>
      <c r="C36" s="22"/>
      <c r="D36" s="23" t="n">
        <f aca="false">D30+D31+D32+D33+D34+D35</f>
        <v>9640000</v>
      </c>
      <c r="E36" s="23" t="n">
        <f aca="false">E30+E31+E32+E33+E34+E35</f>
        <v>8900000</v>
      </c>
      <c r="F36" s="23" t="n">
        <f aca="false">D36-E36</f>
        <v>740000</v>
      </c>
      <c r="G36" s="24" t="n">
        <f aca="false">IFERROR((D36-E36)/ABS(E36),0)</f>
        <v>0.0831460674157303</v>
      </c>
      <c r="H36" s="23" t="n">
        <f aca="false">H30+H31+H32+H33+H34+H35</f>
        <v>3035000</v>
      </c>
      <c r="I36" s="23" t="n">
        <f aca="false">I30+I31+I32+I33+I34+I35</f>
        <v>2850000</v>
      </c>
      <c r="J36" s="23" t="n">
        <f aca="false">H36-I36</f>
        <v>185000</v>
      </c>
      <c r="K36" s="24" t="n">
        <f aca="false">IFERROR((H36-I36)/ABS(I36),0)</f>
        <v>0.0649122807017544</v>
      </c>
      <c r="L36" s="23" t="n">
        <f aca="false">L30+L31+L32+L33+L34+L35</f>
        <v>2042000</v>
      </c>
      <c r="M36" s="23" t="n">
        <f aca="false">M30+M31+M32+M33+M34+M35</f>
        <v>1943000</v>
      </c>
      <c r="N36" s="23" t="n">
        <f aca="false">L36-M36</f>
        <v>99000</v>
      </c>
      <c r="O36" s="24" t="n">
        <f aca="false">IFERROR((L36-M36)/ABS(M36),0)</f>
        <v>0.0509521358723623</v>
      </c>
      <c r="P36" s="23" t="n">
        <f aca="false">P30+P31+P32+P33+P34+P35</f>
        <v>807000</v>
      </c>
      <c r="Q36" s="23" t="n">
        <f aca="false">Q30+Q31+Q32+Q33+Q34+Q35</f>
        <v>753000</v>
      </c>
      <c r="R36" s="23" t="n">
        <f aca="false">P36-Q36</f>
        <v>54000</v>
      </c>
      <c r="S36" s="24" t="n">
        <f aca="false">IFERROR((P36-Q36)/ABS(Q36),0)</f>
        <v>0.0717131474103586</v>
      </c>
      <c r="T36" s="23" t="n">
        <f aca="false">T30+T31+T32+T33+T34+T35</f>
        <v>1668000</v>
      </c>
      <c r="U36" s="23" t="n">
        <f aca="false">U30+U31+U32+U33+U34+U35</f>
        <v>1567000</v>
      </c>
      <c r="V36" s="23" t="n">
        <f aca="false">T36-U36</f>
        <v>101000</v>
      </c>
      <c r="W36" s="24" t="n">
        <f aca="false">IFERROR((T36-U36)/ABS(U36),0)</f>
        <v>0.0644543714103382</v>
      </c>
      <c r="X36" s="23" t="n">
        <f aca="false">D36+H36+L36+P36+T36</f>
        <v>17192000</v>
      </c>
      <c r="Y36" s="23" t="n">
        <f aca="false">E36+I36+M36+Q36+U36</f>
        <v>16013000</v>
      </c>
      <c r="Z36" s="23" t="n">
        <f aca="false">X36-Y36</f>
        <v>1179000</v>
      </c>
      <c r="AA36" s="24" t="n">
        <f aca="false">IFERROR((X36-Y36)/ABS(Y36),0)</f>
        <v>0.0736276775120215</v>
      </c>
      <c r="AB36" s="23" t="n">
        <f aca="false">AB30+AB31+AB32+AB33+AB34+AB35</f>
        <v>-1010000</v>
      </c>
      <c r="AC36" s="23" t="n">
        <f aca="false">AC30+AC31+AC32+AC33+AC34+AC35</f>
        <v>-917000</v>
      </c>
      <c r="AD36" s="23" t="n">
        <f aca="false">AB36-AC36</f>
        <v>-93000</v>
      </c>
      <c r="AE36" s="24" t="n">
        <f aca="false">IFERROR((AB36-AC36)/ABS(AC36),0)</f>
        <v>-0.101417666303162</v>
      </c>
      <c r="AF36" s="23" t="n">
        <f aca="false">X36+AB36</f>
        <v>16182000</v>
      </c>
      <c r="AG36" s="23" t="n">
        <f aca="false">Y36+AC36</f>
        <v>15096000</v>
      </c>
      <c r="AH36" s="23" t="n">
        <f aca="false">AF36-AG36</f>
        <v>1086000</v>
      </c>
      <c r="AI36" s="24" t="n">
        <f aca="false">IFERROR((AF36-AG36)/ABS(AG36),0)</f>
        <v>0.071939586645469</v>
      </c>
    </row>
    <row r="37" customFormat="false" ht="15" hidden="false" customHeight="true" outlineLevel="0" collapsed="false">
      <c r="A37" s="13"/>
      <c r="B37" s="14" t="s">
        <v>53</v>
      </c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customFormat="false" ht="15" hidden="false" customHeight="true" outlineLevel="0" collapsed="false">
      <c r="A38" s="16" t="n">
        <v>1</v>
      </c>
      <c r="B38" s="17" t="s">
        <v>54</v>
      </c>
      <c r="C38" s="17"/>
      <c r="D38" s="18" t="n">
        <v>4800000</v>
      </c>
      <c r="E38" s="18" t="n">
        <v>5200000</v>
      </c>
      <c r="F38" s="19" t="n">
        <f aca="false">D38-E38</f>
        <v>-400000</v>
      </c>
      <c r="G38" s="20" t="n">
        <f aca="false">IFERROR((D38-E38)/ABS(E38),0)</f>
        <v>-0.0769230769230769</v>
      </c>
      <c r="H38" s="18" t="n">
        <v>1600000</v>
      </c>
      <c r="I38" s="18" t="n">
        <v>1750000</v>
      </c>
      <c r="J38" s="19" t="n">
        <f aca="false">H38-I38</f>
        <v>-150000</v>
      </c>
      <c r="K38" s="20" t="n">
        <f aca="false">IFERROR((H38-I38)/ABS(I38),0)</f>
        <v>-0.0857142857142857</v>
      </c>
      <c r="L38" s="18" t="n">
        <v>1080000</v>
      </c>
      <c r="M38" s="18" t="n">
        <v>1180000</v>
      </c>
      <c r="N38" s="19" t="n">
        <f aca="false">L38-M38</f>
        <v>-100000</v>
      </c>
      <c r="O38" s="20" t="n">
        <f aca="false">IFERROR((L38-M38)/ABS(M38),0)</f>
        <v>-0.0847457627118644</v>
      </c>
      <c r="P38" s="18" t="n">
        <v>480000</v>
      </c>
      <c r="Q38" s="18" t="n">
        <v>520000</v>
      </c>
      <c r="R38" s="19" t="n">
        <f aca="false">P38-Q38</f>
        <v>-40000</v>
      </c>
      <c r="S38" s="20" t="n">
        <f aca="false">IFERROR((P38-Q38)/ABS(Q38),0)</f>
        <v>-0.0769230769230769</v>
      </c>
      <c r="T38" s="18" t="n">
        <v>920000</v>
      </c>
      <c r="U38" s="18" t="n">
        <v>1000000</v>
      </c>
      <c r="V38" s="19" t="n">
        <f aca="false">T38-U38</f>
        <v>-80000</v>
      </c>
      <c r="W38" s="20" t="n">
        <f aca="false">IFERROR((T38-U38)/ABS(U38),0)</f>
        <v>-0.08</v>
      </c>
      <c r="X38" s="19" t="n">
        <f aca="false">D38+H38+L38+P38+T38</f>
        <v>8880000</v>
      </c>
      <c r="Y38" s="19" t="n">
        <f aca="false">E38+I38+M38+Q38+U38</f>
        <v>9650000</v>
      </c>
      <c r="Z38" s="19" t="n">
        <f aca="false">X38-Y38</f>
        <v>-770000</v>
      </c>
      <c r="AA38" s="20" t="n">
        <f aca="false">IFERROR((X38-Y38)/ABS(Y38),0)</f>
        <v>-0.0797927461139896</v>
      </c>
      <c r="AB38" s="18" t="n">
        <v>0</v>
      </c>
      <c r="AC38" s="18" t="n">
        <v>0</v>
      </c>
      <c r="AD38" s="19" t="n">
        <f aca="false">AB38-AC38</f>
        <v>0</v>
      </c>
      <c r="AE38" s="20" t="n">
        <f aca="false">IFERROR((AB38-AC38)/ABS(AC38),0)</f>
        <v>0</v>
      </c>
      <c r="AF38" s="19" t="n">
        <f aca="false">X38+AB38</f>
        <v>8880000</v>
      </c>
      <c r="AG38" s="19" t="n">
        <f aca="false">Y38+AC38</f>
        <v>9650000</v>
      </c>
      <c r="AH38" s="19" t="n">
        <f aca="false">AF38-AG38</f>
        <v>-770000</v>
      </c>
      <c r="AI38" s="20" t="n">
        <f aca="false">IFERROR((AF38-AG38)/ABS(AG38),0)</f>
        <v>-0.0797927461139896</v>
      </c>
    </row>
    <row r="39" customFormat="false" ht="15" hidden="false" customHeight="true" outlineLevel="0" collapsed="false">
      <c r="A39" s="16" t="n">
        <v>1</v>
      </c>
      <c r="B39" s="17" t="s">
        <v>55</v>
      </c>
      <c r="C39" s="17"/>
      <c r="D39" s="18" t="n">
        <v>1840000</v>
      </c>
      <c r="E39" s="18" t="n">
        <v>1780000</v>
      </c>
      <c r="F39" s="19" t="n">
        <f aca="false">D39-E39</f>
        <v>60000</v>
      </c>
      <c r="G39" s="20" t="n">
        <f aca="false">IFERROR((D39-E39)/ABS(E39),0)</f>
        <v>0.0337078651685393</v>
      </c>
      <c r="H39" s="18" t="n">
        <v>580000</v>
      </c>
      <c r="I39" s="18" t="n">
        <v>560000</v>
      </c>
      <c r="J39" s="19" t="n">
        <f aca="false">H39-I39</f>
        <v>20000</v>
      </c>
      <c r="K39" s="20" t="n">
        <f aca="false">IFERROR((H39-I39)/ABS(I39),0)</f>
        <v>0.0357142857142857</v>
      </c>
      <c r="L39" s="18" t="n">
        <v>380000</v>
      </c>
      <c r="M39" s="18" t="n">
        <v>365000</v>
      </c>
      <c r="N39" s="19" t="n">
        <f aca="false">L39-M39</f>
        <v>15000</v>
      </c>
      <c r="O39" s="20" t="n">
        <f aca="false">IFERROR((L39-M39)/ABS(M39),0)</f>
        <v>0.0410958904109589</v>
      </c>
      <c r="P39" s="18" t="n">
        <v>142000</v>
      </c>
      <c r="Q39" s="18" t="n">
        <v>138000</v>
      </c>
      <c r="R39" s="19" t="n">
        <f aca="false">P39-Q39</f>
        <v>4000</v>
      </c>
      <c r="S39" s="20" t="n">
        <f aca="false">IFERROR((P39-Q39)/ABS(Q39),0)</f>
        <v>0.0289855072463768</v>
      </c>
      <c r="T39" s="18" t="n">
        <v>0</v>
      </c>
      <c r="U39" s="18" t="n">
        <v>0</v>
      </c>
      <c r="V39" s="19" t="n">
        <f aca="false">T39-U39</f>
        <v>0</v>
      </c>
      <c r="W39" s="20" t="n">
        <f aca="false">IFERROR((T39-U39)/ABS(U39),0)</f>
        <v>0</v>
      </c>
      <c r="X39" s="19" t="n">
        <f aca="false">D39+H39+L39+P39+T39</f>
        <v>2942000</v>
      </c>
      <c r="Y39" s="19" t="n">
        <f aca="false">E39+I39+M39+Q39+U39</f>
        <v>2843000</v>
      </c>
      <c r="Z39" s="19" t="n">
        <f aca="false">X39-Y39</f>
        <v>99000</v>
      </c>
      <c r="AA39" s="20" t="n">
        <f aca="false">IFERROR((X39-Y39)/ABS(Y39),0)</f>
        <v>0.0348223707351389</v>
      </c>
      <c r="AB39" s="18" t="n">
        <v>0</v>
      </c>
      <c r="AC39" s="18" t="n">
        <v>0</v>
      </c>
      <c r="AD39" s="19" t="n">
        <f aca="false">AB39-AC39</f>
        <v>0</v>
      </c>
      <c r="AE39" s="20" t="n">
        <f aca="false">IFERROR((AB39-AC39)/ABS(AC39),0)</f>
        <v>0</v>
      </c>
      <c r="AF39" s="19" t="n">
        <f aca="false">X39+AB39</f>
        <v>2942000</v>
      </c>
      <c r="AG39" s="19" t="n">
        <f aca="false">Y39+AC39</f>
        <v>2843000</v>
      </c>
      <c r="AH39" s="19" t="n">
        <f aca="false">AF39-AG39</f>
        <v>99000</v>
      </c>
      <c r="AI39" s="20" t="n">
        <f aca="false">IFERROR((AF39-AG39)/ABS(AG39),0)</f>
        <v>0.0348223707351389</v>
      </c>
    </row>
    <row r="40" customFormat="false" ht="15" hidden="false" customHeight="true" outlineLevel="0" collapsed="false">
      <c r="A40" s="16" t="n">
        <v>1</v>
      </c>
      <c r="B40" s="17" t="s">
        <v>56</v>
      </c>
      <c r="C40" s="17"/>
      <c r="D40" s="18" t="n">
        <v>320000</v>
      </c>
      <c r="E40" s="18" t="n">
        <v>310000</v>
      </c>
      <c r="F40" s="19" t="n">
        <f aca="false">D40-E40</f>
        <v>10000</v>
      </c>
      <c r="G40" s="20" t="n">
        <f aca="false">IFERROR((D40-E40)/ABS(E40),0)</f>
        <v>0.032258064516129</v>
      </c>
      <c r="H40" s="18" t="n">
        <v>88000</v>
      </c>
      <c r="I40" s="18" t="n">
        <v>85000</v>
      </c>
      <c r="J40" s="19" t="n">
        <f aca="false">H40-I40</f>
        <v>3000</v>
      </c>
      <c r="K40" s="20" t="n">
        <f aca="false">IFERROR((H40-I40)/ABS(I40),0)</f>
        <v>0.0352941176470588</v>
      </c>
      <c r="L40" s="18" t="n">
        <v>52000</v>
      </c>
      <c r="M40" s="18" t="n">
        <v>50000</v>
      </c>
      <c r="N40" s="19" t="n">
        <f aca="false">L40-M40</f>
        <v>2000</v>
      </c>
      <c r="O40" s="20" t="n">
        <f aca="false">IFERROR((L40-M40)/ABS(M40),0)</f>
        <v>0.04</v>
      </c>
      <c r="P40" s="18" t="n">
        <v>22000</v>
      </c>
      <c r="Q40" s="18" t="n">
        <v>21000</v>
      </c>
      <c r="R40" s="19" t="n">
        <f aca="false">P40-Q40</f>
        <v>1000</v>
      </c>
      <c r="S40" s="20" t="n">
        <f aca="false">IFERROR((P40-Q40)/ABS(Q40),0)</f>
        <v>0.0476190476190476</v>
      </c>
      <c r="T40" s="18" t="n">
        <v>0</v>
      </c>
      <c r="U40" s="18" t="n">
        <v>0</v>
      </c>
      <c r="V40" s="19" t="n">
        <f aca="false">T40-U40</f>
        <v>0</v>
      </c>
      <c r="W40" s="20" t="n">
        <f aca="false">IFERROR((T40-U40)/ABS(U40),0)</f>
        <v>0</v>
      </c>
      <c r="X40" s="19" t="n">
        <f aca="false">D40+H40+L40+P40+T40</f>
        <v>482000</v>
      </c>
      <c r="Y40" s="19" t="n">
        <f aca="false">E40+I40+M40+Q40+U40</f>
        <v>466000</v>
      </c>
      <c r="Z40" s="19" t="n">
        <f aca="false">X40-Y40</f>
        <v>16000</v>
      </c>
      <c r="AA40" s="20" t="n">
        <f aca="false">IFERROR((X40-Y40)/ABS(Y40),0)</f>
        <v>0.0343347639484979</v>
      </c>
      <c r="AB40" s="18" t="n">
        <v>0</v>
      </c>
      <c r="AC40" s="18" t="n">
        <v>0</v>
      </c>
      <c r="AD40" s="19" t="n">
        <f aca="false">AB40-AC40</f>
        <v>0</v>
      </c>
      <c r="AE40" s="20" t="n">
        <f aca="false">IFERROR((AB40-AC40)/ABS(AC40),0)</f>
        <v>0</v>
      </c>
      <c r="AF40" s="19" t="n">
        <f aca="false">X40+AB40</f>
        <v>482000</v>
      </c>
      <c r="AG40" s="19" t="n">
        <f aca="false">Y40+AC40</f>
        <v>466000</v>
      </c>
      <c r="AH40" s="19" t="n">
        <f aca="false">AF40-AG40</f>
        <v>16000</v>
      </c>
      <c r="AI40" s="20" t="n">
        <f aca="false">IFERROR((AF40-AG40)/ABS(AG40),0)</f>
        <v>0.0343347639484979</v>
      </c>
    </row>
    <row r="41" customFormat="false" ht="15" hidden="false" customHeight="true" outlineLevel="0" collapsed="false">
      <c r="A41" s="21" t="n">
        <v>0</v>
      </c>
      <c r="B41" s="22" t="s">
        <v>57</v>
      </c>
      <c r="C41" s="22"/>
      <c r="D41" s="23" t="n">
        <f aca="false">D38+D39+D40</f>
        <v>6960000</v>
      </c>
      <c r="E41" s="23" t="n">
        <f aca="false">E38+E39+E40</f>
        <v>7290000</v>
      </c>
      <c r="F41" s="23" t="n">
        <f aca="false">D41-E41</f>
        <v>-330000</v>
      </c>
      <c r="G41" s="24" t="n">
        <f aca="false">IFERROR((D41-E41)/ABS(E41),0)</f>
        <v>-0.0452674897119342</v>
      </c>
      <c r="H41" s="23" t="n">
        <f aca="false">H38+H39+H40</f>
        <v>2268000</v>
      </c>
      <c r="I41" s="23" t="n">
        <f aca="false">I38+I39+I40</f>
        <v>2395000</v>
      </c>
      <c r="J41" s="23" t="n">
        <f aca="false">H41-I41</f>
        <v>-127000</v>
      </c>
      <c r="K41" s="24" t="n">
        <f aca="false">IFERROR((H41-I41)/ABS(I41),0)</f>
        <v>-0.053027139874739</v>
      </c>
      <c r="L41" s="23" t="n">
        <f aca="false">L38+L39+L40</f>
        <v>1512000</v>
      </c>
      <c r="M41" s="23" t="n">
        <f aca="false">M38+M39+M40</f>
        <v>1595000</v>
      </c>
      <c r="N41" s="23" t="n">
        <f aca="false">L41-M41</f>
        <v>-83000</v>
      </c>
      <c r="O41" s="24" t="n">
        <f aca="false">IFERROR((L41-M41)/ABS(M41),0)</f>
        <v>-0.0520376175548589</v>
      </c>
      <c r="P41" s="23" t="n">
        <f aca="false">P38+P39+P40</f>
        <v>644000</v>
      </c>
      <c r="Q41" s="23" t="n">
        <f aca="false">Q38+Q39+Q40</f>
        <v>679000</v>
      </c>
      <c r="R41" s="23" t="n">
        <f aca="false">P41-Q41</f>
        <v>-35000</v>
      </c>
      <c r="S41" s="24" t="n">
        <f aca="false">IFERROR((P41-Q41)/ABS(Q41),0)</f>
        <v>-0.0515463917525773</v>
      </c>
      <c r="T41" s="23" t="n">
        <f aca="false">T38+T39+T40</f>
        <v>920000</v>
      </c>
      <c r="U41" s="23" t="n">
        <f aca="false">U38+U39+U40</f>
        <v>1000000</v>
      </c>
      <c r="V41" s="23" t="n">
        <f aca="false">T41-U41</f>
        <v>-80000</v>
      </c>
      <c r="W41" s="24" t="n">
        <f aca="false">IFERROR((T41-U41)/ABS(U41),0)</f>
        <v>-0.08</v>
      </c>
      <c r="X41" s="23" t="n">
        <f aca="false">D41+H41+L41+P41+T41</f>
        <v>12304000</v>
      </c>
      <c r="Y41" s="23" t="n">
        <f aca="false">E41+I41+M41+Q41+U41</f>
        <v>12959000</v>
      </c>
      <c r="Z41" s="23" t="n">
        <f aca="false">X41-Y41</f>
        <v>-655000</v>
      </c>
      <c r="AA41" s="24" t="n">
        <f aca="false">IFERROR((X41-Y41)/ABS(Y41),0)</f>
        <v>-0.0505440234586002</v>
      </c>
      <c r="AB41" s="23" t="n">
        <f aca="false">AB38+AB39+AB40</f>
        <v>0</v>
      </c>
      <c r="AC41" s="23" t="n">
        <f aca="false">AC38+AC39+AC40</f>
        <v>0</v>
      </c>
      <c r="AD41" s="23" t="n">
        <f aca="false">AB41-AC41</f>
        <v>0</v>
      </c>
      <c r="AE41" s="24" t="n">
        <f aca="false">IFERROR((AB41-AC41)/ABS(AC41),0)</f>
        <v>0</v>
      </c>
      <c r="AF41" s="23" t="n">
        <f aca="false">X41+AB41</f>
        <v>12304000</v>
      </c>
      <c r="AG41" s="23" t="n">
        <f aca="false">Y41+AC41</f>
        <v>12959000</v>
      </c>
      <c r="AH41" s="23" t="n">
        <f aca="false">AF41-AG41</f>
        <v>-655000</v>
      </c>
      <c r="AI41" s="24" t="n">
        <f aca="false">IFERROR((AF41-AG41)/ABS(AG41),0)</f>
        <v>-0.0505440234586002</v>
      </c>
    </row>
    <row r="42" customFormat="false" ht="15" hidden="false" customHeight="true" outlineLevel="0" collapsed="false">
      <c r="A42" s="25" t="n">
        <v>0</v>
      </c>
      <c r="B42" s="26" t="s">
        <v>58</v>
      </c>
      <c r="C42" s="26"/>
      <c r="D42" s="27" t="n">
        <f aca="false">D36+D41</f>
        <v>16600000</v>
      </c>
      <c r="E42" s="27" t="n">
        <f aca="false">E36+E41</f>
        <v>16190000</v>
      </c>
      <c r="F42" s="27" t="n">
        <f aca="false">D42-E42</f>
        <v>410000</v>
      </c>
      <c r="G42" s="28" t="n">
        <f aca="false">IFERROR((D42-E42)/ABS(E42),0)</f>
        <v>0.0253242742433601</v>
      </c>
      <c r="H42" s="27" t="n">
        <f aca="false">H36+H41</f>
        <v>5303000</v>
      </c>
      <c r="I42" s="27" t="n">
        <f aca="false">I36+I41</f>
        <v>5245000</v>
      </c>
      <c r="J42" s="27" t="n">
        <f aca="false">H42-I42</f>
        <v>58000</v>
      </c>
      <c r="K42" s="28" t="n">
        <f aca="false">IFERROR((H42-I42)/ABS(I42),0)</f>
        <v>0.0110581506196378</v>
      </c>
      <c r="L42" s="27" t="n">
        <f aca="false">L36+L41</f>
        <v>3554000</v>
      </c>
      <c r="M42" s="27" t="n">
        <f aca="false">M36+M41</f>
        <v>3538000</v>
      </c>
      <c r="N42" s="27" t="n">
        <f aca="false">L42-M42</f>
        <v>16000</v>
      </c>
      <c r="O42" s="28" t="n">
        <f aca="false">IFERROR((L42-M42)/ABS(M42),0)</f>
        <v>0.00452232899943471</v>
      </c>
      <c r="P42" s="27" t="n">
        <f aca="false">P36+P41</f>
        <v>1451000</v>
      </c>
      <c r="Q42" s="27" t="n">
        <f aca="false">Q36+Q41</f>
        <v>1432000</v>
      </c>
      <c r="R42" s="27" t="n">
        <f aca="false">P42-Q42</f>
        <v>19000</v>
      </c>
      <c r="S42" s="28" t="n">
        <f aca="false">IFERROR((P42-Q42)/ABS(Q42),0)</f>
        <v>0.013268156424581</v>
      </c>
      <c r="T42" s="27" t="n">
        <f aca="false">T36+T41</f>
        <v>2588000</v>
      </c>
      <c r="U42" s="27" t="n">
        <f aca="false">U36+U41</f>
        <v>2567000</v>
      </c>
      <c r="V42" s="27" t="n">
        <f aca="false">T42-U42</f>
        <v>21000</v>
      </c>
      <c r="W42" s="28" t="n">
        <f aca="false">IFERROR((T42-U42)/ABS(U42),0)</f>
        <v>0.00818075574600701</v>
      </c>
      <c r="X42" s="27" t="n">
        <f aca="false">D42+H42+L42+P42+T42</f>
        <v>29496000</v>
      </c>
      <c r="Y42" s="27" t="n">
        <f aca="false">E42+I42+M42+Q42+U42</f>
        <v>28972000</v>
      </c>
      <c r="Z42" s="27" t="n">
        <f aca="false">X42-Y42</f>
        <v>524000</v>
      </c>
      <c r="AA42" s="28" t="n">
        <f aca="false">IFERROR((X42-Y42)/ABS(Y42),0)</f>
        <v>0.0180864282755764</v>
      </c>
      <c r="AB42" s="27" t="n">
        <f aca="false">AB36+AB41</f>
        <v>-1010000</v>
      </c>
      <c r="AC42" s="27" t="n">
        <f aca="false">AC36+AC41</f>
        <v>-917000</v>
      </c>
      <c r="AD42" s="27" t="n">
        <f aca="false">AB42-AC42</f>
        <v>-93000</v>
      </c>
      <c r="AE42" s="28" t="n">
        <f aca="false">IFERROR((AB42-AC42)/ABS(AC42),0)</f>
        <v>-0.101417666303162</v>
      </c>
      <c r="AF42" s="27" t="n">
        <f aca="false">X42+AB42</f>
        <v>28486000</v>
      </c>
      <c r="AG42" s="27" t="n">
        <f aca="false">Y42+AC42</f>
        <v>28055000</v>
      </c>
      <c r="AH42" s="27" t="n">
        <f aca="false">AF42-AG42</f>
        <v>431000</v>
      </c>
      <c r="AI42" s="28" t="n">
        <f aca="false">IFERROR((AF42-AG42)/ABS(AG42),0)</f>
        <v>0.0153626804491178</v>
      </c>
    </row>
    <row r="43" customFormat="false" ht="15" hidden="false" customHeight="true" outlineLevel="0" collapsed="false">
      <c r="A43" s="13"/>
      <c r="B43" s="14" t="s">
        <v>59</v>
      </c>
      <c r="C43" s="1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customFormat="false" ht="15" hidden="false" customHeight="true" outlineLevel="0" collapsed="false">
      <c r="A44" s="16" t="n">
        <v>1</v>
      </c>
      <c r="B44" s="17" t="s">
        <v>60</v>
      </c>
      <c r="C44" s="17"/>
      <c r="D44" s="18" t="n">
        <v>3000000</v>
      </c>
      <c r="E44" s="18" t="n">
        <v>3000000</v>
      </c>
      <c r="F44" s="19" t="n">
        <f aca="false">D44-E44</f>
        <v>0</v>
      </c>
      <c r="G44" s="20" t="n">
        <f aca="false">IFERROR((D44-E44)/ABS(E44),0)</f>
        <v>0</v>
      </c>
      <c r="H44" s="18" t="n">
        <v>100000</v>
      </c>
      <c r="I44" s="18" t="n">
        <v>100000</v>
      </c>
      <c r="J44" s="19" t="n">
        <f aca="false">H44-I44</f>
        <v>0</v>
      </c>
      <c r="K44" s="20" t="n">
        <f aca="false">IFERROR((H44-I44)/ABS(I44),0)</f>
        <v>0</v>
      </c>
      <c r="L44" s="18" t="n">
        <v>80000</v>
      </c>
      <c r="M44" s="18" t="n">
        <v>80000</v>
      </c>
      <c r="N44" s="19" t="n">
        <f aca="false">L44-M44</f>
        <v>0</v>
      </c>
      <c r="O44" s="20" t="n">
        <f aca="false">IFERROR((L44-M44)/ABS(M44),0)</f>
        <v>0</v>
      </c>
      <c r="P44" s="18" t="n">
        <v>60000</v>
      </c>
      <c r="Q44" s="18" t="n">
        <v>60000</v>
      </c>
      <c r="R44" s="19" t="n">
        <f aca="false">P44-Q44</f>
        <v>0</v>
      </c>
      <c r="S44" s="20" t="n">
        <f aca="false">IFERROR((P44-Q44)/ABS(Q44),0)</f>
        <v>0</v>
      </c>
      <c r="T44" s="18" t="n">
        <v>50000</v>
      </c>
      <c r="U44" s="18" t="n">
        <v>50000</v>
      </c>
      <c r="V44" s="19" t="n">
        <f aca="false">T44-U44</f>
        <v>0</v>
      </c>
      <c r="W44" s="20" t="n">
        <f aca="false">IFERROR((T44-U44)/ABS(U44),0)</f>
        <v>0</v>
      </c>
      <c r="X44" s="19" t="n">
        <f aca="false">D44+H44+L44+P44+T44</f>
        <v>3290000</v>
      </c>
      <c r="Y44" s="19" t="n">
        <f aca="false">E44+I44+M44+Q44+U44</f>
        <v>3290000</v>
      </c>
      <c r="Z44" s="19" t="n">
        <f aca="false">X44-Y44</f>
        <v>0</v>
      </c>
      <c r="AA44" s="20" t="n">
        <f aca="false">IFERROR((X44-Y44)/ABS(Y44),0)</f>
        <v>0</v>
      </c>
      <c r="AB44" s="18" t="n">
        <v>-290000</v>
      </c>
      <c r="AC44" s="18" t="n">
        <v>-290000</v>
      </c>
      <c r="AD44" s="19" t="n">
        <f aca="false">AB44-AC44</f>
        <v>0</v>
      </c>
      <c r="AE44" s="20" t="n">
        <f aca="false">IFERROR((AB44-AC44)/ABS(AC44),0)</f>
        <v>0</v>
      </c>
      <c r="AF44" s="19" t="n">
        <f aca="false">X44+AB44</f>
        <v>3000000</v>
      </c>
      <c r="AG44" s="19" t="n">
        <f aca="false">Y44+AC44</f>
        <v>3000000</v>
      </c>
      <c r="AH44" s="19" t="n">
        <f aca="false">AF44-AG44</f>
        <v>0</v>
      </c>
      <c r="AI44" s="20" t="n">
        <f aca="false">IFERROR((AF44-AG44)/ABS(AG44),0)</f>
        <v>0</v>
      </c>
    </row>
    <row r="45" customFormat="false" ht="15" hidden="false" customHeight="true" outlineLevel="0" collapsed="false">
      <c r="A45" s="16" t="n">
        <v>1</v>
      </c>
      <c r="B45" s="17" t="s">
        <v>61</v>
      </c>
      <c r="C45" s="17"/>
      <c r="D45" s="18" t="n">
        <v>1800000</v>
      </c>
      <c r="E45" s="18" t="n">
        <v>1800000</v>
      </c>
      <c r="F45" s="19" t="n">
        <f aca="false">D45-E45</f>
        <v>0</v>
      </c>
      <c r="G45" s="20" t="n">
        <f aca="false">IFERROR((D45-E45)/ABS(E45),0)</f>
        <v>0</v>
      </c>
      <c r="H45" s="18" t="n">
        <v>50000</v>
      </c>
      <c r="I45" s="18" t="n">
        <v>50000</v>
      </c>
      <c r="J45" s="19" t="n">
        <f aca="false">H45-I45</f>
        <v>0</v>
      </c>
      <c r="K45" s="20" t="n">
        <f aca="false">IFERROR((H45-I45)/ABS(I45),0)</f>
        <v>0</v>
      </c>
      <c r="L45" s="18" t="n">
        <v>40000</v>
      </c>
      <c r="M45" s="18" t="n">
        <v>40000</v>
      </c>
      <c r="N45" s="19" t="n">
        <f aca="false">L45-M45</f>
        <v>0</v>
      </c>
      <c r="O45" s="20" t="n">
        <f aca="false">IFERROR((L45-M45)/ABS(M45),0)</f>
        <v>0</v>
      </c>
      <c r="P45" s="18" t="n">
        <v>30000</v>
      </c>
      <c r="Q45" s="18" t="n">
        <v>30000</v>
      </c>
      <c r="R45" s="19" t="n">
        <f aca="false">P45-Q45</f>
        <v>0</v>
      </c>
      <c r="S45" s="20" t="n">
        <f aca="false">IFERROR((P45-Q45)/ABS(Q45),0)</f>
        <v>0</v>
      </c>
      <c r="T45" s="18" t="n">
        <v>25000</v>
      </c>
      <c r="U45" s="18" t="n">
        <v>25000</v>
      </c>
      <c r="V45" s="19" t="n">
        <f aca="false">T45-U45</f>
        <v>0</v>
      </c>
      <c r="W45" s="20" t="n">
        <f aca="false">IFERROR((T45-U45)/ABS(U45),0)</f>
        <v>0</v>
      </c>
      <c r="X45" s="19" t="n">
        <f aca="false">D45+H45+L45+P45+T45</f>
        <v>1945000</v>
      </c>
      <c r="Y45" s="19" t="n">
        <f aca="false">E45+I45+M45+Q45+U45</f>
        <v>1945000</v>
      </c>
      <c r="Z45" s="19" t="n">
        <f aca="false">X45-Y45</f>
        <v>0</v>
      </c>
      <c r="AA45" s="20" t="n">
        <f aca="false">IFERROR((X45-Y45)/ABS(Y45),0)</f>
        <v>0</v>
      </c>
      <c r="AB45" s="18" t="n">
        <v>-145000</v>
      </c>
      <c r="AC45" s="18" t="n">
        <v>-145000</v>
      </c>
      <c r="AD45" s="19" t="n">
        <f aca="false">AB45-AC45</f>
        <v>0</v>
      </c>
      <c r="AE45" s="20" t="n">
        <f aca="false">IFERROR((AB45-AC45)/ABS(AC45),0)</f>
        <v>0</v>
      </c>
      <c r="AF45" s="19" t="n">
        <f aca="false">X45+AB45</f>
        <v>1800000</v>
      </c>
      <c r="AG45" s="19" t="n">
        <f aca="false">Y45+AC45</f>
        <v>1800000</v>
      </c>
      <c r="AH45" s="19" t="n">
        <f aca="false">AF45-AG45</f>
        <v>0</v>
      </c>
      <c r="AI45" s="20" t="n">
        <f aca="false">IFERROR((AF45-AG45)/ABS(AG45),0)</f>
        <v>0</v>
      </c>
    </row>
    <row r="46" customFormat="false" ht="15" hidden="false" customHeight="true" outlineLevel="0" collapsed="false">
      <c r="A46" s="16" t="n">
        <v>1</v>
      </c>
      <c r="B46" s="17" t="s">
        <v>62</v>
      </c>
      <c r="C46" s="17"/>
      <c r="D46" s="18" t="n">
        <v>29226000</v>
      </c>
      <c r="E46" s="18" t="n">
        <v>25809000</v>
      </c>
      <c r="F46" s="19" t="n">
        <f aca="false">D46-E46</f>
        <v>3417000</v>
      </c>
      <c r="G46" s="20" t="n">
        <f aca="false">IFERROR((D46-E46)/ABS(E46),0)</f>
        <v>0.132395675927002</v>
      </c>
      <c r="H46" s="18" t="n">
        <v>4280000</v>
      </c>
      <c r="I46" s="18" t="n">
        <v>3980000</v>
      </c>
      <c r="J46" s="19" t="n">
        <f aca="false">H46-I46</f>
        <v>300000</v>
      </c>
      <c r="K46" s="20" t="n">
        <f aca="false">IFERROR((H46-I46)/ABS(I46),0)</f>
        <v>0.0753768844221106</v>
      </c>
      <c r="L46" s="18" t="n">
        <v>2180000</v>
      </c>
      <c r="M46" s="18" t="n">
        <v>2080000</v>
      </c>
      <c r="N46" s="19" t="n">
        <f aca="false">L46-M46</f>
        <v>100000</v>
      </c>
      <c r="O46" s="20" t="n">
        <f aca="false">IFERROR((L46-M46)/ABS(M46),0)</f>
        <v>0.0480769230769231</v>
      </c>
      <c r="P46" s="18" t="n">
        <v>880000</v>
      </c>
      <c r="Q46" s="18" t="n">
        <v>820000</v>
      </c>
      <c r="R46" s="19" t="n">
        <f aca="false">P46-Q46</f>
        <v>60000</v>
      </c>
      <c r="S46" s="20" t="n">
        <f aca="false">IFERROR((P46-Q46)/ABS(Q46),0)</f>
        <v>0.0731707317073171</v>
      </c>
      <c r="T46" s="18" t="n">
        <v>1640000</v>
      </c>
      <c r="U46" s="18" t="n">
        <v>1520000</v>
      </c>
      <c r="V46" s="19" t="n">
        <f aca="false">T46-U46</f>
        <v>120000</v>
      </c>
      <c r="W46" s="20" t="n">
        <f aca="false">IFERROR((T46-U46)/ABS(U46),0)</f>
        <v>0.0789473684210526</v>
      </c>
      <c r="X46" s="19" t="n">
        <f aca="false">D46+H46+L46+P46+T46</f>
        <v>38206000</v>
      </c>
      <c r="Y46" s="19" t="n">
        <f aca="false">E46+I46+M46+Q46+U46</f>
        <v>34209000</v>
      </c>
      <c r="Z46" s="19" t="n">
        <f aca="false">X46-Y46</f>
        <v>3997000</v>
      </c>
      <c r="AA46" s="20" t="n">
        <f aca="false">IFERROR((X46-Y46)/ABS(Y46),0)</f>
        <v>0.116840597503581</v>
      </c>
      <c r="AB46" s="18" t="n">
        <v>-3842100</v>
      </c>
      <c r="AC46" s="18" t="n">
        <v>-3575000</v>
      </c>
      <c r="AD46" s="19" t="n">
        <f aca="false">AB46-AC46</f>
        <v>-267100</v>
      </c>
      <c r="AE46" s="20" t="n">
        <f aca="false">IFERROR((AB46-AC46)/ABS(AC46),0)</f>
        <v>-0.0747132867132867</v>
      </c>
      <c r="AF46" s="19" t="n">
        <f aca="false">X46+AB46</f>
        <v>34363900</v>
      </c>
      <c r="AG46" s="19" t="n">
        <f aca="false">Y46+AC46</f>
        <v>30634000</v>
      </c>
      <c r="AH46" s="19" t="n">
        <f aca="false">AF46-AG46</f>
        <v>3729900</v>
      </c>
      <c r="AI46" s="20" t="n">
        <f aca="false">IFERROR((AF46-AG46)/ABS(AG46),0)</f>
        <v>0.121756871450023</v>
      </c>
    </row>
    <row r="47" customFormat="false" ht="15" hidden="false" customHeight="true" outlineLevel="0" collapsed="false">
      <c r="A47" s="16" t="n">
        <v>1</v>
      </c>
      <c r="B47" s="17" t="s">
        <v>63</v>
      </c>
      <c r="C47" s="17"/>
      <c r="D47" s="18" t="n">
        <v>-240000</v>
      </c>
      <c r="E47" s="18" t="n">
        <v>-240000</v>
      </c>
      <c r="F47" s="19" t="n">
        <f aca="false">D47-E47</f>
        <v>0</v>
      </c>
      <c r="G47" s="20" t="n">
        <f aca="false">IFERROR((D47-E47)/ABS(E47),0)</f>
        <v>0</v>
      </c>
      <c r="H47" s="18" t="n">
        <v>0</v>
      </c>
      <c r="I47" s="18" t="n">
        <v>0</v>
      </c>
      <c r="J47" s="19" t="n">
        <f aca="false">H47-I47</f>
        <v>0</v>
      </c>
      <c r="K47" s="20" t="n">
        <f aca="false">IFERROR((H47-I47)/ABS(I47),0)</f>
        <v>0</v>
      </c>
      <c r="L47" s="18" t="n">
        <v>0</v>
      </c>
      <c r="M47" s="18" t="n">
        <v>0</v>
      </c>
      <c r="N47" s="19" t="n">
        <f aca="false">L47-M47</f>
        <v>0</v>
      </c>
      <c r="O47" s="20" t="n">
        <f aca="false">IFERROR((L47-M47)/ABS(M47),0)</f>
        <v>0</v>
      </c>
      <c r="P47" s="18" t="n">
        <v>0</v>
      </c>
      <c r="Q47" s="18" t="n">
        <v>0</v>
      </c>
      <c r="R47" s="19" t="n">
        <f aca="false">P47-Q47</f>
        <v>0</v>
      </c>
      <c r="S47" s="20" t="n">
        <f aca="false">IFERROR((P47-Q47)/ABS(Q47),0)</f>
        <v>0</v>
      </c>
      <c r="T47" s="18" t="n">
        <v>0</v>
      </c>
      <c r="U47" s="18" t="n">
        <v>0</v>
      </c>
      <c r="V47" s="19" t="n">
        <f aca="false">T47-U47</f>
        <v>0</v>
      </c>
      <c r="W47" s="20" t="n">
        <f aca="false">IFERROR((T47-U47)/ABS(U47),0)</f>
        <v>0</v>
      </c>
      <c r="X47" s="19" t="n">
        <f aca="false">D47+H47+L47+P47+T47</f>
        <v>-240000</v>
      </c>
      <c r="Y47" s="19" t="n">
        <f aca="false">E47+I47+M47+Q47+U47</f>
        <v>-240000</v>
      </c>
      <c r="Z47" s="19" t="n">
        <f aca="false">X47-Y47</f>
        <v>0</v>
      </c>
      <c r="AA47" s="20" t="n">
        <f aca="false">IFERROR((X47-Y47)/ABS(Y47),0)</f>
        <v>0</v>
      </c>
      <c r="AB47" s="18" t="n">
        <v>0</v>
      </c>
      <c r="AC47" s="18" t="n">
        <v>0</v>
      </c>
      <c r="AD47" s="19" t="n">
        <f aca="false">AB47-AC47</f>
        <v>0</v>
      </c>
      <c r="AE47" s="20" t="n">
        <f aca="false">IFERROR((AB47-AC47)/ABS(AC47),0)</f>
        <v>0</v>
      </c>
      <c r="AF47" s="19" t="n">
        <f aca="false">X47+AB47</f>
        <v>-240000</v>
      </c>
      <c r="AG47" s="19" t="n">
        <f aca="false">Y47+AC47</f>
        <v>-240000</v>
      </c>
      <c r="AH47" s="19" t="n">
        <f aca="false">AF47-AG47</f>
        <v>0</v>
      </c>
      <c r="AI47" s="20" t="n">
        <f aca="false">IFERROR((AF47-AG47)/ABS(AG47),0)</f>
        <v>0</v>
      </c>
    </row>
    <row r="48" customFormat="false" ht="15" hidden="false" customHeight="true" outlineLevel="0" collapsed="false">
      <c r="A48" s="16" t="n">
        <v>1</v>
      </c>
      <c r="B48" s="17" t="s">
        <v>64</v>
      </c>
      <c r="C48" s="17"/>
      <c r="D48" s="18" t="n">
        <v>180000</v>
      </c>
      <c r="E48" s="18" t="n">
        <v>145000</v>
      </c>
      <c r="F48" s="19" t="n">
        <f aca="false">D48-E48</f>
        <v>35000</v>
      </c>
      <c r="G48" s="20" t="n">
        <f aca="false">IFERROR((D48-E48)/ABS(E48),0)</f>
        <v>0.241379310344828</v>
      </c>
      <c r="H48" s="18" t="n">
        <v>32000</v>
      </c>
      <c r="I48" s="18" t="n">
        <v>28000</v>
      </c>
      <c r="J48" s="19" t="n">
        <f aca="false">H48-I48</f>
        <v>4000</v>
      </c>
      <c r="K48" s="20" t="n">
        <f aca="false">IFERROR((H48-I48)/ABS(I48),0)</f>
        <v>0.142857142857143</v>
      </c>
      <c r="L48" s="18" t="n">
        <v>18000</v>
      </c>
      <c r="M48" s="18" t="n">
        <v>16000</v>
      </c>
      <c r="N48" s="19" t="n">
        <f aca="false">L48-M48</f>
        <v>2000</v>
      </c>
      <c r="O48" s="20" t="n">
        <f aca="false">IFERROR((L48-M48)/ABS(M48),0)</f>
        <v>0.125</v>
      </c>
      <c r="P48" s="18" t="n">
        <v>8000</v>
      </c>
      <c r="Q48" s="18" t="n">
        <v>7000</v>
      </c>
      <c r="R48" s="19" t="n">
        <f aca="false">P48-Q48</f>
        <v>1000</v>
      </c>
      <c r="S48" s="20" t="n">
        <f aca="false">IFERROR((P48-Q48)/ABS(Q48),0)</f>
        <v>0.142857142857143</v>
      </c>
      <c r="T48" s="18" t="n">
        <v>95000</v>
      </c>
      <c r="U48" s="18" t="n">
        <v>75000</v>
      </c>
      <c r="V48" s="19" t="n">
        <f aca="false">T48-U48</f>
        <v>20000</v>
      </c>
      <c r="W48" s="20" t="n">
        <f aca="false">IFERROR((T48-U48)/ABS(U48),0)</f>
        <v>0.266666666666667</v>
      </c>
      <c r="X48" s="19" t="n">
        <f aca="false">D48+H48+L48+P48+T48</f>
        <v>333000</v>
      </c>
      <c r="Y48" s="19" t="n">
        <f aca="false">E48+I48+M48+Q48+U48</f>
        <v>271000</v>
      </c>
      <c r="Z48" s="19" t="n">
        <f aca="false">X48-Y48</f>
        <v>62000</v>
      </c>
      <c r="AA48" s="20" t="n">
        <f aca="false">IFERROR((X48-Y48)/ABS(Y48),0)</f>
        <v>0.228782287822878</v>
      </c>
      <c r="AB48" s="18" t="n">
        <v>0</v>
      </c>
      <c r="AC48" s="18" t="n">
        <v>0</v>
      </c>
      <c r="AD48" s="19" t="n">
        <f aca="false">AB48-AC48</f>
        <v>0</v>
      </c>
      <c r="AE48" s="20" t="n">
        <f aca="false">IFERROR((AB48-AC48)/ABS(AC48),0)</f>
        <v>0</v>
      </c>
      <c r="AF48" s="19" t="n">
        <f aca="false">X48+AB48</f>
        <v>333000</v>
      </c>
      <c r="AG48" s="19" t="n">
        <f aca="false">Y48+AC48</f>
        <v>271000</v>
      </c>
      <c r="AH48" s="19" t="n">
        <f aca="false">AF48-AG48</f>
        <v>62000</v>
      </c>
      <c r="AI48" s="20" t="n">
        <f aca="false">IFERROR((AF48-AG48)/ABS(AG48),0)</f>
        <v>0.228782287822878</v>
      </c>
    </row>
    <row r="49" customFormat="false" ht="15" hidden="false" customHeight="true" outlineLevel="0" collapsed="false">
      <c r="A49" s="16" t="n">
        <v>1</v>
      </c>
      <c r="B49" s="17" t="s">
        <v>65</v>
      </c>
      <c r="C49" s="17"/>
      <c r="D49" s="18" t="n">
        <v>0</v>
      </c>
      <c r="E49" s="18" t="n">
        <v>0</v>
      </c>
      <c r="F49" s="19" t="n">
        <f aca="false">D49-E49</f>
        <v>0</v>
      </c>
      <c r="G49" s="20" t="n">
        <f aca="false">IFERROR((D49-E49)/ABS(E49),0)</f>
        <v>0</v>
      </c>
      <c r="H49" s="18" t="n">
        <v>0</v>
      </c>
      <c r="I49" s="18" t="n">
        <v>0</v>
      </c>
      <c r="J49" s="19" t="n">
        <f aca="false">H49-I49</f>
        <v>0</v>
      </c>
      <c r="K49" s="20" t="n">
        <f aca="false">IFERROR((H49-I49)/ABS(I49),0)</f>
        <v>0</v>
      </c>
      <c r="L49" s="18" t="n">
        <v>0</v>
      </c>
      <c r="M49" s="18" t="n">
        <v>0</v>
      </c>
      <c r="N49" s="19" t="n">
        <f aca="false">L49-M49</f>
        <v>0</v>
      </c>
      <c r="O49" s="20" t="n">
        <f aca="false">IFERROR((L49-M49)/ABS(M49),0)</f>
        <v>0</v>
      </c>
      <c r="P49" s="18" t="n">
        <v>0</v>
      </c>
      <c r="Q49" s="18" t="n">
        <v>0</v>
      </c>
      <c r="R49" s="19" t="n">
        <f aca="false">P49-Q49</f>
        <v>0</v>
      </c>
      <c r="S49" s="20" t="n">
        <f aca="false">IFERROR((P49-Q49)/ABS(Q49),0)</f>
        <v>0</v>
      </c>
      <c r="T49" s="18" t="n">
        <v>0</v>
      </c>
      <c r="U49" s="18" t="n">
        <v>0</v>
      </c>
      <c r="V49" s="19" t="n">
        <f aca="false">T49-U49</f>
        <v>0</v>
      </c>
      <c r="W49" s="20" t="n">
        <f aca="false">IFERROR((T49-U49)/ABS(U49),0)</f>
        <v>0</v>
      </c>
      <c r="X49" s="19" t="n">
        <f aca="false">D49+H49+L49+P49+T49</f>
        <v>0</v>
      </c>
      <c r="Y49" s="19" t="n">
        <f aca="false">E49+I49+M49+Q49+U49</f>
        <v>0</v>
      </c>
      <c r="Z49" s="19" t="n">
        <f aca="false">X49-Y49</f>
        <v>0</v>
      </c>
      <c r="AA49" s="20" t="n">
        <f aca="false">IFERROR((X49-Y49)/ABS(Y49),0)</f>
        <v>0</v>
      </c>
      <c r="AB49" s="18" t="n">
        <v>1120000</v>
      </c>
      <c r="AC49" s="18" t="n">
        <v>1040000</v>
      </c>
      <c r="AD49" s="19" t="n">
        <f aca="false">AB49-AC49</f>
        <v>80000</v>
      </c>
      <c r="AE49" s="20" t="n">
        <f aca="false">IFERROR((AB49-AC49)/ABS(AC49),0)</f>
        <v>0.0769230769230769</v>
      </c>
      <c r="AF49" s="19" t="n">
        <f aca="false">X49+AB49</f>
        <v>1120000</v>
      </c>
      <c r="AG49" s="19" t="n">
        <f aca="false">Y49+AC49</f>
        <v>1040000</v>
      </c>
      <c r="AH49" s="19" t="n">
        <f aca="false">AF49-AG49</f>
        <v>80000</v>
      </c>
      <c r="AI49" s="20" t="n">
        <f aca="false">IFERROR((AF49-AG49)/ABS(AG49),0)</f>
        <v>0.0769230769230769</v>
      </c>
    </row>
    <row r="50" customFormat="false" ht="15" hidden="false" customHeight="true" outlineLevel="0" collapsed="false">
      <c r="A50" s="21" t="n">
        <v>0</v>
      </c>
      <c r="B50" s="22" t="s">
        <v>66</v>
      </c>
      <c r="C50" s="22"/>
      <c r="D50" s="23" t="n">
        <f aca="false">D44+D45+D46+D47+D48+D49</f>
        <v>33966000</v>
      </c>
      <c r="E50" s="23" t="n">
        <f aca="false">E44+E45+E46+E47+E48+E49</f>
        <v>30514000</v>
      </c>
      <c r="F50" s="23" t="n">
        <f aca="false">D50-E50</f>
        <v>3452000</v>
      </c>
      <c r="G50" s="24" t="n">
        <f aca="false">IFERROR((D50-E50)/ABS(E50),0)</f>
        <v>0.113128400078652</v>
      </c>
      <c r="H50" s="23" t="n">
        <f aca="false">H44+H45+H46+H47+H48+H49</f>
        <v>4462000</v>
      </c>
      <c r="I50" s="23" t="n">
        <f aca="false">I44+I45+I46+I47+I48+I49</f>
        <v>4158000</v>
      </c>
      <c r="J50" s="23" t="n">
        <f aca="false">H50-I50</f>
        <v>304000</v>
      </c>
      <c r="K50" s="24" t="n">
        <f aca="false">IFERROR((H50-I50)/ABS(I50),0)</f>
        <v>0.0731120731120731</v>
      </c>
      <c r="L50" s="23" t="n">
        <f aca="false">L44+L45+L46+L47+L48+L49</f>
        <v>2318000</v>
      </c>
      <c r="M50" s="23" t="n">
        <f aca="false">M44+M45+M46+M47+M48+M49</f>
        <v>2216000</v>
      </c>
      <c r="N50" s="23" t="n">
        <f aca="false">L50-M50</f>
        <v>102000</v>
      </c>
      <c r="O50" s="24" t="n">
        <f aca="false">IFERROR((L50-M50)/ABS(M50),0)</f>
        <v>0.046028880866426</v>
      </c>
      <c r="P50" s="23" t="n">
        <f aca="false">P44+P45+P46+P47+P48+P49</f>
        <v>978000</v>
      </c>
      <c r="Q50" s="23" t="n">
        <f aca="false">Q44+Q45+Q46+Q47+Q48+Q49</f>
        <v>917000</v>
      </c>
      <c r="R50" s="23" t="n">
        <f aca="false">P50-Q50</f>
        <v>61000</v>
      </c>
      <c r="S50" s="24" t="n">
        <f aca="false">IFERROR((P50-Q50)/ABS(Q50),0)</f>
        <v>0.0665212649945474</v>
      </c>
      <c r="T50" s="23" t="n">
        <f aca="false">T44+T45+T46+T47+T48+T49</f>
        <v>1810000</v>
      </c>
      <c r="U50" s="23" t="n">
        <f aca="false">U44+U45+U46+U47+U48+U49</f>
        <v>1670000</v>
      </c>
      <c r="V50" s="23" t="n">
        <f aca="false">T50-U50</f>
        <v>140000</v>
      </c>
      <c r="W50" s="24" t="n">
        <f aca="false">IFERROR((T50-U50)/ABS(U50),0)</f>
        <v>0.0838323353293413</v>
      </c>
      <c r="X50" s="23" t="n">
        <f aca="false">D50+H50+L50+P50+T50</f>
        <v>43534000</v>
      </c>
      <c r="Y50" s="23" t="n">
        <f aca="false">E50+I50+M50+Q50+U50</f>
        <v>39475000</v>
      </c>
      <c r="Z50" s="23" t="n">
        <f aca="false">X50-Y50</f>
        <v>4059000</v>
      </c>
      <c r="AA50" s="24" t="n">
        <f aca="false">IFERROR((X50-Y50)/ABS(Y50),0)</f>
        <v>0.10282457251425</v>
      </c>
      <c r="AB50" s="23" t="n">
        <f aca="false">AB44+AB45+AB46+AB47+AB48+AB49</f>
        <v>-3157100</v>
      </c>
      <c r="AC50" s="23" t="n">
        <f aca="false">AC44+AC45+AC46+AC47+AC48+AC49</f>
        <v>-2970000</v>
      </c>
      <c r="AD50" s="23" t="n">
        <f aca="false">AB50-AC50</f>
        <v>-187100</v>
      </c>
      <c r="AE50" s="24" t="n">
        <f aca="false">IFERROR((AB50-AC50)/ABS(AC50),0)</f>
        <v>-0.062996632996633</v>
      </c>
      <c r="AF50" s="23" t="n">
        <f aca="false">X50+AB50</f>
        <v>40376900</v>
      </c>
      <c r="AG50" s="23" t="n">
        <f aca="false">Y50+AC50</f>
        <v>36505000</v>
      </c>
      <c r="AH50" s="23" t="n">
        <f aca="false">AF50-AG50</f>
        <v>3871900</v>
      </c>
      <c r="AI50" s="24" t="n">
        <f aca="false">IFERROR((AF50-AG50)/ABS(AG50),0)</f>
        <v>0.106064922613341</v>
      </c>
    </row>
    <row r="51" customFormat="false" ht="15" hidden="false" customHeight="true" outlineLevel="0" collapsed="false">
      <c r="A51" s="25" t="n">
        <v>0</v>
      </c>
      <c r="B51" s="26" t="s">
        <v>67</v>
      </c>
      <c r="C51" s="26"/>
      <c r="D51" s="27" t="n">
        <f aca="false">D42+D50</f>
        <v>50566000</v>
      </c>
      <c r="E51" s="27" t="n">
        <f aca="false">E42+E50</f>
        <v>46704000</v>
      </c>
      <c r="F51" s="27" t="n">
        <f aca="false">D51-E51</f>
        <v>3862000</v>
      </c>
      <c r="G51" s="28" t="n">
        <f aca="false">IFERROR((D51-E51)/ABS(E51),0)</f>
        <v>0.0826909900650908</v>
      </c>
      <c r="H51" s="27" t="n">
        <f aca="false">H42+H50</f>
        <v>9765000</v>
      </c>
      <c r="I51" s="27" t="n">
        <f aca="false">I42+I50</f>
        <v>9403000</v>
      </c>
      <c r="J51" s="27" t="n">
        <f aca="false">H51-I51</f>
        <v>362000</v>
      </c>
      <c r="K51" s="28" t="n">
        <f aca="false">IFERROR((H51-I51)/ABS(I51),0)</f>
        <v>0.0384983515899181</v>
      </c>
      <c r="L51" s="27" t="n">
        <f aca="false">L42+L50</f>
        <v>5872000</v>
      </c>
      <c r="M51" s="27" t="n">
        <f aca="false">M42+M50</f>
        <v>5754000</v>
      </c>
      <c r="N51" s="27" t="n">
        <f aca="false">L51-M51</f>
        <v>118000</v>
      </c>
      <c r="O51" s="28" t="n">
        <f aca="false">IFERROR((L51-M51)/ABS(M51),0)</f>
        <v>0.0205074730622176</v>
      </c>
      <c r="P51" s="27" t="n">
        <f aca="false">P42+P50</f>
        <v>2429000</v>
      </c>
      <c r="Q51" s="27" t="n">
        <f aca="false">Q42+Q50</f>
        <v>2349000</v>
      </c>
      <c r="R51" s="27" t="n">
        <f aca="false">P51-Q51</f>
        <v>80000</v>
      </c>
      <c r="S51" s="28" t="n">
        <f aca="false">IFERROR((P51-Q51)/ABS(Q51),0)</f>
        <v>0.0340570455512984</v>
      </c>
      <c r="T51" s="27" t="n">
        <f aca="false">T42+T50</f>
        <v>4398000</v>
      </c>
      <c r="U51" s="27" t="n">
        <f aca="false">U42+U50</f>
        <v>4237000</v>
      </c>
      <c r="V51" s="27" t="n">
        <f aca="false">T51-U51</f>
        <v>161000</v>
      </c>
      <c r="W51" s="28" t="n">
        <f aca="false">IFERROR((T51-U51)/ABS(U51),0)</f>
        <v>0.0379985839037055</v>
      </c>
      <c r="X51" s="27" t="n">
        <f aca="false">D51+H51+L51+P51+T51</f>
        <v>73030000</v>
      </c>
      <c r="Y51" s="27" t="n">
        <f aca="false">E51+I51+M51+Q51+U51</f>
        <v>68447000</v>
      </c>
      <c r="Z51" s="27" t="n">
        <f aca="false">X51-Y51</f>
        <v>4583000</v>
      </c>
      <c r="AA51" s="28" t="n">
        <f aca="false">IFERROR((X51-Y51)/ABS(Y51),0)</f>
        <v>0.0669569155697109</v>
      </c>
      <c r="AB51" s="27" t="n">
        <f aca="false">AB42+AB50</f>
        <v>-4167100</v>
      </c>
      <c r="AC51" s="27" t="n">
        <f aca="false">AC42+AC50</f>
        <v>-3887000</v>
      </c>
      <c r="AD51" s="27" t="n">
        <f aca="false">AB51-AC51</f>
        <v>-280100</v>
      </c>
      <c r="AE51" s="28" t="n">
        <f aca="false">IFERROR((AB51-AC51)/ABS(AC51),0)</f>
        <v>-0.0720607152045279</v>
      </c>
      <c r="AF51" s="27" t="n">
        <f aca="false">X51+AB51</f>
        <v>68862900</v>
      </c>
      <c r="AG51" s="27" t="n">
        <f aca="false">Y51+AC51</f>
        <v>64560000</v>
      </c>
      <c r="AH51" s="27" t="n">
        <f aca="false">AF51-AG51</f>
        <v>4302900</v>
      </c>
      <c r="AI51" s="28" t="n">
        <f aca="false">IFERROR((AF51-AG51)/ABS(AG51),0)</f>
        <v>0.0666496282527881</v>
      </c>
    </row>
    <row r="53" customFormat="false" ht="15" hidden="false" customHeight="true" outlineLevel="0" collapsed="false">
      <c r="B53" s="29" t="s">
        <v>68</v>
      </c>
      <c r="AF53" s="30" t="n">
        <f aca="false">AF27-AF51</f>
        <v>0</v>
      </c>
    </row>
  </sheetData>
  <mergeCells count="16">
    <mergeCell ref="D1:AI1"/>
    <mergeCell ref="A2:A4"/>
    <mergeCell ref="B2:B4"/>
    <mergeCell ref="C2:C4"/>
    <mergeCell ref="D2:G2"/>
    <mergeCell ref="H2:S2"/>
    <mergeCell ref="T2:W2"/>
    <mergeCell ref="X2:AI2"/>
    <mergeCell ref="D3:G3"/>
    <mergeCell ref="H3:K3"/>
    <mergeCell ref="L3:O3"/>
    <mergeCell ref="P3:S3"/>
    <mergeCell ref="T3:W3"/>
    <mergeCell ref="X3:AA3"/>
    <mergeCell ref="AB3:AE3"/>
    <mergeCell ref="AF3:AI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2026-05-04T13:59:31Z</dcterms:created>
  <dc:creator>openpyxl</dc:creator>
  <dc:description/>
  <dc:language>en-US</dc:language>
  <cp:lastModifiedBy/>
  <dcterms:modified xsi:type="dcterms:W3CDTF">2026-05-05T12:29:36Z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